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filterPrivacy="1" defaultThemeVersion="124226"/>
  <xr:revisionPtr revIDLastSave="0" documentId="13_ncr:1_{CBC193A7-145C-4EDF-9C7F-50310FF368E3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AC17" i="1" l="1"/>
  <c r="Y19" i="1"/>
  <c r="Y21" i="1" s="1"/>
  <c r="W19" i="1"/>
  <c r="W21" i="1" s="1"/>
  <c r="U19" i="1"/>
  <c r="U21" i="1" s="1"/>
  <c r="S19" i="1"/>
  <c r="S21" i="1" s="1"/>
  <c r="Q19" i="1"/>
  <c r="Q21" i="1" s="1"/>
  <c r="O19" i="1"/>
  <c r="O21" i="1" s="1"/>
  <c r="M19" i="1"/>
  <c r="M21" i="1" s="1"/>
  <c r="K19" i="1"/>
  <c r="K21" i="1" s="1"/>
  <c r="I19" i="1"/>
  <c r="I21" i="1" s="1"/>
  <c r="U30" i="1"/>
  <c r="U29" i="1"/>
  <c r="S29" i="1"/>
  <c r="AE87" i="1"/>
  <c r="AC87" i="1"/>
  <c r="AA87" i="1"/>
  <c r="Y87" i="1"/>
  <c r="W87" i="1"/>
  <c r="U87" i="1"/>
  <c r="S87" i="1"/>
  <c r="Q87" i="1"/>
  <c r="O87" i="1"/>
  <c r="M87" i="1"/>
  <c r="K87" i="1"/>
  <c r="I87" i="1"/>
  <c r="G87" i="1"/>
  <c r="AE86" i="1"/>
  <c r="AC86" i="1"/>
  <c r="AA86" i="1"/>
  <c r="Y86" i="1"/>
  <c r="W86" i="1"/>
  <c r="U86" i="1"/>
  <c r="S86" i="1"/>
  <c r="Q86" i="1"/>
  <c r="O86" i="1"/>
  <c r="M86" i="1"/>
  <c r="K86" i="1"/>
  <c r="I86" i="1"/>
  <c r="G86" i="1"/>
  <c r="AE81" i="1"/>
  <c r="AC81" i="1"/>
  <c r="AA81" i="1"/>
  <c r="Y81" i="1"/>
  <c r="W81" i="1"/>
  <c r="U81" i="1"/>
  <c r="S81" i="1"/>
  <c r="Q81" i="1"/>
  <c r="O81" i="1"/>
  <c r="M81" i="1"/>
  <c r="K81" i="1"/>
  <c r="I81" i="1"/>
  <c r="G81" i="1"/>
  <c r="AG80" i="1"/>
  <c r="AG79" i="1"/>
  <c r="BJ78" i="1"/>
  <c r="AE78" i="1"/>
  <c r="AE85" i="1" s="1"/>
  <c r="BJ77" i="1"/>
  <c r="G78" i="1"/>
  <c r="G85" i="1" s="1"/>
  <c r="BJ76" i="1"/>
  <c r="Y75" i="1"/>
  <c r="W75" i="1"/>
  <c r="U75" i="1"/>
  <c r="S75" i="1"/>
  <c r="Q75" i="1"/>
  <c r="O75" i="1"/>
  <c r="M75" i="1"/>
  <c r="K75" i="1"/>
  <c r="I75" i="1"/>
  <c r="G75" i="1"/>
  <c r="AG71" i="1"/>
  <c r="BQ69" i="1" s="1"/>
  <c r="AG70" i="1"/>
  <c r="BN49" i="1" s="1"/>
  <c r="AG69" i="1"/>
  <c r="AG68" i="1"/>
  <c r="BK47" i="1" s="1"/>
  <c r="AG67" i="1"/>
  <c r="AG66" i="1"/>
  <c r="AG65" i="1"/>
  <c r="AE64" i="1"/>
  <c r="AC64" i="1"/>
  <c r="AA64" i="1"/>
  <c r="Y64" i="1"/>
  <c r="W64" i="1"/>
  <c r="U64" i="1"/>
  <c r="S64" i="1"/>
  <c r="Q64" i="1"/>
  <c r="O64" i="1"/>
  <c r="M64" i="1"/>
  <c r="K64" i="1"/>
  <c r="I64" i="1"/>
  <c r="G64" i="1"/>
  <c r="AG63" i="1"/>
  <c r="AM62" i="1"/>
  <c r="AG62" i="1"/>
  <c r="AG61" i="1"/>
  <c r="AY60" i="1"/>
  <c r="AS60" i="1"/>
  <c r="AM60" i="1"/>
  <c r="AS58" i="1"/>
  <c r="AM58" i="1"/>
  <c r="AY56" i="1"/>
  <c r="AM56" i="1"/>
  <c r="AE56" i="1"/>
  <c r="G56" i="1"/>
  <c r="BE55" i="1"/>
  <c r="BL62" i="1" s="1"/>
  <c r="I55" i="1"/>
  <c r="K55" i="1" s="1"/>
  <c r="I54" i="1"/>
  <c r="K54" i="1" s="1"/>
  <c r="I52" i="1"/>
  <c r="K52" i="1" s="1"/>
  <c r="I51" i="1"/>
  <c r="K51" i="1" s="1"/>
  <c r="M51" i="1" s="1"/>
  <c r="O51" i="1" s="1"/>
  <c r="S51" i="1" s="1"/>
  <c r="W51" i="1" s="1"/>
  <c r="Y51" i="1" s="1"/>
  <c r="AA51" i="1" s="1"/>
  <c r="AC51" i="1" s="1"/>
  <c r="I50" i="1"/>
  <c r="BN48" i="1"/>
  <c r="AG47" i="1"/>
  <c r="AI46" i="1" s="1"/>
  <c r="BN46" i="1"/>
  <c r="BK46" i="1"/>
  <c r="Q46" i="1"/>
  <c r="U46" i="1" s="1"/>
  <c r="AC46" i="1" s="1"/>
  <c r="Q45" i="1"/>
  <c r="U45" i="1" s="1"/>
  <c r="AC45" i="1" s="1"/>
  <c r="BN44" i="1"/>
  <c r="BK44" i="1"/>
  <c r="AC44" i="1"/>
  <c r="BN43" i="1"/>
  <c r="BH41" i="1"/>
  <c r="BK40" i="1"/>
  <c r="BN40" i="1" s="1"/>
  <c r="AG36" i="1"/>
  <c r="AG35" i="1"/>
  <c r="AP34" i="1"/>
  <c r="AG34" i="1"/>
  <c r="AP33" i="1"/>
  <c r="AG33" i="1"/>
  <c r="AP32" i="1"/>
  <c r="AG32" i="1"/>
  <c r="AP31" i="1"/>
  <c r="AG31" i="1"/>
  <c r="A31" i="1"/>
  <c r="AP30" i="1"/>
  <c r="AE30" i="1"/>
  <c r="AE57" i="1" s="1"/>
  <c r="AE59" i="1" s="1"/>
  <c r="AC30" i="1"/>
  <c r="AA30" i="1"/>
  <c r="Y30" i="1"/>
  <c r="W30" i="1"/>
  <c r="G30" i="1"/>
  <c r="G57" i="1" s="1"/>
  <c r="A30" i="1"/>
  <c r="AP29" i="1"/>
  <c r="AE29" i="1"/>
  <c r="AE82" i="1" s="1"/>
  <c r="AC29" i="1"/>
  <c r="AA29" i="1"/>
  <c r="Y29" i="1"/>
  <c r="W29" i="1"/>
  <c r="Q29" i="1"/>
  <c r="O29" i="1"/>
  <c r="M29" i="1"/>
  <c r="K29" i="1"/>
  <c r="G29" i="1"/>
  <c r="AG28" i="1"/>
  <c r="AG26" i="1"/>
  <c r="AG25" i="1"/>
  <c r="BH24" i="1"/>
  <c r="AO24" i="1"/>
  <c r="I30" i="1"/>
  <c r="AO23" i="1"/>
  <c r="AG23" i="1"/>
  <c r="A22" i="1"/>
  <c r="G19" i="1"/>
  <c r="AA14" i="1"/>
  <c r="AC14" i="1" s="1"/>
  <c r="AA13" i="1"/>
  <c r="AC13" i="1" s="1"/>
  <c r="AA11" i="1"/>
  <c r="AC11" i="1" s="1"/>
  <c r="I8" i="1"/>
  <c r="G8" i="1"/>
  <c r="Y7" i="1"/>
  <c r="W7" i="1"/>
  <c r="U7" i="1"/>
  <c r="Q7" i="1"/>
  <c r="O7" i="1"/>
  <c r="M7" i="1"/>
  <c r="K7" i="1"/>
  <c r="G7" i="1"/>
  <c r="BP3" i="1"/>
  <c r="AD3" i="1"/>
  <c r="BN3" i="1" s="1"/>
  <c r="BP2" i="1"/>
  <c r="BN2" i="1"/>
  <c r="BC2" i="1"/>
  <c r="AH2" i="1"/>
  <c r="AA75" i="1" s="1"/>
  <c r="BK49" i="1" l="1"/>
  <c r="AG81" i="1"/>
  <c r="BN47" i="1"/>
  <c r="I56" i="1"/>
  <c r="AE7" i="1"/>
  <c r="I27" i="1"/>
  <c r="I29" i="1" s="1"/>
  <c r="BL55" i="1"/>
  <c r="BR2" i="1"/>
  <c r="AC7" i="1"/>
  <c r="AH46" i="1"/>
  <c r="K50" i="1"/>
  <c r="K56" i="1" s="1"/>
  <c r="AG87" i="1"/>
  <c r="I78" i="1"/>
  <c r="I85" i="1" s="1"/>
  <c r="AG64" i="1"/>
  <c r="AG86" i="1"/>
  <c r="AG30" i="1"/>
  <c r="O53" i="1"/>
  <c r="Q53" i="1" s="1"/>
  <c r="AA41" i="1"/>
  <c r="AC41" i="1" s="1"/>
  <c r="M52" i="1"/>
  <c r="O52" i="1" s="1"/>
  <c r="Q52" i="1" s="1"/>
  <c r="S52" i="1" s="1"/>
  <c r="U52" i="1" s="1"/>
  <c r="W52" i="1" s="1"/>
  <c r="Y52" i="1" s="1"/>
  <c r="AA52" i="1" s="1"/>
  <c r="AC52" i="1" s="1"/>
  <c r="M55" i="1"/>
  <c r="O55" i="1" s="1"/>
  <c r="Q55" i="1" s="1"/>
  <c r="S55" i="1" s="1"/>
  <c r="U55" i="1" s="1"/>
  <c r="W55" i="1" s="1"/>
  <c r="Y55" i="1" s="1"/>
  <c r="AA55" i="1" s="1"/>
  <c r="AC55" i="1" s="1"/>
  <c r="AG46" i="1"/>
  <c r="BH23" i="1" s="1"/>
  <c r="BQ22" i="1" s="1"/>
  <c r="M54" i="1"/>
  <c r="O54" i="1" s="1"/>
  <c r="Q54" i="1" s="1"/>
  <c r="S54" i="1" s="1"/>
  <c r="U54" i="1" s="1"/>
  <c r="W54" i="1" s="1"/>
  <c r="Y54" i="1" s="1"/>
  <c r="AA54" i="1" s="1"/>
  <c r="AC54" i="1" s="1"/>
  <c r="AA7" i="1"/>
  <c r="AC10" i="1"/>
  <c r="G21" i="1"/>
  <c r="AG51" i="1"/>
  <c r="BH30" i="1" s="1"/>
  <c r="BL60" i="1"/>
  <c r="AH3" i="1"/>
  <c r="AG11" i="1"/>
  <c r="I57" i="1"/>
  <c r="AG40" i="1"/>
  <c r="AX11" i="1" s="1"/>
  <c r="AE75" i="1"/>
  <c r="G37" i="1"/>
  <c r="AE37" i="1"/>
  <c r="AC75" i="1"/>
  <c r="AG52" i="1" l="1"/>
  <c r="BH31" i="1" s="1"/>
  <c r="AG41" i="1"/>
  <c r="BH19" i="1" s="1"/>
  <c r="BQ20" i="1" s="1"/>
  <c r="K78" i="1"/>
  <c r="K85" i="1" s="1"/>
  <c r="G82" i="1"/>
  <c r="BH34" i="1"/>
  <c r="AG53" i="1"/>
  <c r="BH32" i="1" s="1"/>
  <c r="B1" i="1"/>
  <c r="BR3" i="1"/>
  <c r="AL1" i="1" s="1"/>
  <c r="AS62" i="1"/>
  <c r="AY62" i="1"/>
  <c r="AG54" i="1"/>
  <c r="BH33" i="1" s="1"/>
  <c r="AG10" i="1"/>
  <c r="M56" i="1"/>
  <c r="O50" i="1"/>
  <c r="K57" i="1" l="1"/>
  <c r="K82" i="1"/>
  <c r="M78" i="1"/>
  <c r="M85" i="1" s="1"/>
  <c r="AG27" i="1"/>
  <c r="O56" i="1"/>
  <c r="Q50" i="1"/>
  <c r="I37" i="1"/>
  <c r="K37" i="1" l="1"/>
  <c r="M37" i="1"/>
  <c r="O85" i="1"/>
  <c r="S50" i="1"/>
  <c r="Q56" i="1"/>
  <c r="I82" i="1"/>
  <c r="M82" i="1" l="1"/>
  <c r="O57" i="1"/>
  <c r="M57" i="1"/>
  <c r="S76" i="1"/>
  <c r="Q78" i="1"/>
  <c r="Q85" i="1" s="1"/>
  <c r="Q57" i="1"/>
  <c r="S57" i="1"/>
  <c r="S56" i="1"/>
  <c r="U50" i="1"/>
  <c r="Q37" i="1" l="1"/>
  <c r="O37" i="1"/>
  <c r="U76" i="1"/>
  <c r="S78" i="1"/>
  <c r="S85" i="1" s="1"/>
  <c r="AG24" i="1"/>
  <c r="AG29" i="1"/>
  <c r="U56" i="1"/>
  <c r="W50" i="1"/>
  <c r="O82" i="1"/>
  <c r="Q82" i="1" l="1"/>
  <c r="U78" i="1"/>
  <c r="U85" i="1" s="1"/>
  <c r="S37" i="1"/>
  <c r="W56" i="1"/>
  <c r="Y50" i="1"/>
  <c r="U37" i="1" l="1"/>
  <c r="W78" i="1"/>
  <c r="W85" i="1" s="1"/>
  <c r="AA50" i="1"/>
  <c r="Y56" i="1"/>
  <c r="AA17" i="1"/>
  <c r="AA12" i="1"/>
  <c r="S82" i="1"/>
  <c r="U82" i="1" l="1"/>
  <c r="W57" i="1"/>
  <c r="U57" i="1"/>
  <c r="Y78" i="1"/>
  <c r="Y85" i="1" s="1"/>
  <c r="AA56" i="1"/>
  <c r="AC50" i="1"/>
  <c r="AC12" i="1"/>
  <c r="W37" i="1"/>
  <c r="Y57" i="1" l="1"/>
  <c r="AA78" i="1"/>
  <c r="AA85" i="1" s="1"/>
  <c r="Y82" i="1"/>
  <c r="W82" i="1"/>
  <c r="AC56" i="1"/>
  <c r="AG56" i="1" s="1"/>
  <c r="AG50" i="1"/>
  <c r="BH29" i="1" s="1"/>
  <c r="AG18" i="1"/>
  <c r="AG17" i="1"/>
  <c r="AA19" i="1"/>
  <c r="AC9" i="1"/>
  <c r="AG15" i="1" s="1"/>
  <c r="BH10" i="1" s="1"/>
  <c r="Y37" i="1" l="1"/>
  <c r="AA57" i="1"/>
  <c r="AG76" i="1"/>
  <c r="AA21" i="1"/>
  <c r="BN34" i="1"/>
  <c r="AG16" i="1"/>
  <c r="AG9" i="1"/>
  <c r="AA82" i="1" l="1"/>
  <c r="AA37" i="1"/>
  <c r="AG77" i="1"/>
  <c r="AC78" i="1"/>
  <c r="BB11" i="1"/>
  <c r="BH11" i="1" s="1"/>
  <c r="AZ12" i="1"/>
  <c r="BH12" i="1" s="1"/>
  <c r="AC19" i="1"/>
  <c r="AC57" i="1" l="1"/>
  <c r="AG22" i="1"/>
  <c r="BQ8" i="1"/>
  <c r="AG83" i="1" s="1"/>
  <c r="AG78" i="1"/>
  <c r="AC85" i="1"/>
  <c r="AG85" i="1" s="1"/>
  <c r="Y91" i="1" s="1"/>
  <c r="BQ71" i="1" s="1"/>
  <c r="W90" i="1" s="1"/>
  <c r="AC37" i="1"/>
  <c r="AG37" i="1" s="1"/>
  <c r="BQ7" i="1" s="1"/>
  <c r="AC21" i="1"/>
  <c r="AG19" i="1"/>
  <c r="BQ15" i="1" l="1"/>
  <c r="BQ16" i="1" s="1"/>
  <c r="BQ21" i="1" s="1"/>
  <c r="BQ25" i="1" s="1"/>
  <c r="AG59" i="1"/>
  <c r="AG57" i="1"/>
  <c r="AC82" i="1"/>
  <c r="AG82" i="1" s="1"/>
  <c r="AG84" i="1" s="1"/>
  <c r="AG21" i="1"/>
  <c r="BN37" i="1" l="1"/>
  <c r="BK37" i="1"/>
  <c r="BN35" i="1"/>
  <c r="AG58" i="1"/>
  <c r="BK36" i="1" s="1"/>
  <c r="BN36" i="1" l="1"/>
  <c r="BQ51" i="1" s="1"/>
  <c r="BI55" i="1" s="1"/>
  <c r="BM55" i="1" s="1"/>
  <c r="G60" i="1"/>
  <c r="AG60" i="1" s="1"/>
  <c r="BI56" i="1" l="1"/>
  <c r="BM56" i="1" s="1"/>
  <c r="BI58" i="1" l="1"/>
  <c r="BM58" i="1" s="1"/>
  <c r="BI60" i="1" l="1"/>
  <c r="BM60" i="1" s="1"/>
  <c r="BI62" i="1" l="1"/>
  <c r="BM62" i="1" s="1"/>
  <c r="BM64" i="1" s="1"/>
  <c r="BQ52" i="1" s="1"/>
  <c r="BQ65" i="1" s="1"/>
  <c r="BI64" i="1" l="1"/>
  <c r="BQ66" i="1"/>
  <c r="BQ67" i="1" s="1"/>
  <c r="S90" i="1" s="1"/>
  <c r="Q90" i="1" l="1"/>
  <c r="U90" i="1" s="1"/>
  <c r="Y90" i="1" s="1"/>
  <c r="AW67" i="1"/>
  <c r="BQ68" i="1"/>
  <c r="BQ70" i="1" s="1"/>
  <c r="BQ72" i="1" s="1"/>
</calcChain>
</file>

<file path=xl/sharedStrings.xml><?xml version="1.0" encoding="utf-8"?>
<sst xmlns="http://schemas.openxmlformats.org/spreadsheetml/2006/main" count="341" uniqueCount="205">
  <si>
    <t>Name</t>
  </si>
  <si>
    <t>PH (Y/N)</t>
  </si>
  <si>
    <t>N</t>
  </si>
  <si>
    <t>Before Jan DA</t>
  </si>
  <si>
    <t>F.Y.</t>
  </si>
  <si>
    <t>-</t>
  </si>
  <si>
    <t>PAN</t>
  </si>
  <si>
    <t>Level</t>
  </si>
  <si>
    <t>Jan DA</t>
  </si>
  <si>
    <t>A.Y.</t>
  </si>
  <si>
    <t>Desgn</t>
  </si>
  <si>
    <t>Emp Cd</t>
  </si>
  <si>
    <t>Jul DA</t>
  </si>
  <si>
    <t>Date of Employement</t>
  </si>
  <si>
    <t>Office</t>
  </si>
  <si>
    <t>NPS</t>
  </si>
  <si>
    <t>Y</t>
  </si>
  <si>
    <t>Month of Increment</t>
  </si>
  <si>
    <t>From</t>
  </si>
  <si>
    <t>To</t>
  </si>
  <si>
    <t>Deductee Type</t>
  </si>
  <si>
    <t>Others</t>
  </si>
  <si>
    <t>Month &amp; Year</t>
  </si>
  <si>
    <t>Total</t>
  </si>
  <si>
    <r>
      <rPr>
        <sz val="10"/>
        <rFont val="Tahoma"/>
        <family val="2"/>
      </rPr>
      <t>Gross Salary (</t>
    </r>
    <r>
      <rPr>
        <i/>
        <sz val="10"/>
        <rFont val="Tahoma"/>
        <family val="2"/>
      </rPr>
      <t>Vide Works Sheet enclosed</t>
    </r>
    <r>
      <rPr>
        <sz val="10"/>
        <rFont val="Tahoma"/>
        <family val="2"/>
      </rPr>
      <t>)</t>
    </r>
  </si>
  <si>
    <t>Rs.</t>
  </si>
  <si>
    <t>Particulars</t>
  </si>
  <si>
    <t>(i) Exemption under Sec.10 (13A) in r/o. HRA for those who actually pay rent</t>
  </si>
  <si>
    <t>Pay</t>
  </si>
  <si>
    <t>(Least of the following)</t>
  </si>
  <si>
    <t>Special Pay</t>
  </si>
  <si>
    <t>(a)</t>
  </si>
  <si>
    <t>Actual amount of HRA received</t>
  </si>
  <si>
    <t>Personal Pay</t>
  </si>
  <si>
    <t>(b)</t>
  </si>
  <si>
    <t>Rent paid in excess of 10% of salary</t>
  </si>
  <si>
    <t>(Rs.</t>
  </si>
  <si>
    <t>)</t>
  </si>
  <si>
    <t>Qtrs. (Y/N)</t>
  </si>
  <si>
    <t>(c)</t>
  </si>
  <si>
    <t>50% of salary</t>
  </si>
  <si>
    <t>(50% of Rs.</t>
  </si>
  <si>
    <t>Classif.</t>
  </si>
  <si>
    <t>Tpt All</t>
  </si>
  <si>
    <t>HRA</t>
  </si>
  <si>
    <t>X</t>
  </si>
  <si>
    <t xml:space="preserve">(iii) </t>
  </si>
  <si>
    <t>House Rent Allowance</t>
  </si>
  <si>
    <t>Aggregate of 2 (i) to 2 (iii)</t>
  </si>
  <si>
    <t>BALANCE (1 - 2)</t>
  </si>
  <si>
    <t>Transport Allowance</t>
  </si>
  <si>
    <t>Deductions:</t>
  </si>
  <si>
    <t>DA on Transport Allowance</t>
  </si>
  <si>
    <t>Entertainment Allowance</t>
  </si>
  <si>
    <t>Total Salary</t>
  </si>
  <si>
    <t>Tax on Employment</t>
  </si>
  <si>
    <t>Aggregate of 4 (a) and (b)</t>
  </si>
  <si>
    <t>Nett Salary</t>
  </si>
  <si>
    <t>Income chargeable under the head "Salaries" (3 - 5)</t>
  </si>
  <si>
    <r>
      <rPr>
        <i/>
        <sz val="10"/>
        <rFont val="Tahoma"/>
        <family val="2"/>
      </rPr>
      <t>Add:</t>
    </r>
    <r>
      <rPr>
        <sz val="10"/>
        <rFont val="Tahoma"/>
        <family val="2"/>
      </rPr>
      <t xml:space="preserve"> Any other income</t>
    </r>
  </si>
  <si>
    <t>ARREARS</t>
  </si>
  <si>
    <t>DA</t>
  </si>
  <si>
    <t>GROSS TOTAL INCOME (6 + 7)</t>
  </si>
  <si>
    <t>TA</t>
  </si>
  <si>
    <t>DEDUCTIONS UNDER CHAPTER VI-A</t>
  </si>
  <si>
    <t>Gross Amount</t>
  </si>
  <si>
    <t>Deductible Amount</t>
  </si>
  <si>
    <t>DA on TA</t>
  </si>
  <si>
    <t>(A)</t>
  </si>
  <si>
    <t>Sections 80C, 80CCC and 80CCD</t>
  </si>
  <si>
    <t>Section 80C</t>
  </si>
  <si>
    <t>(i)</t>
  </si>
  <si>
    <t>(ii)</t>
  </si>
  <si>
    <t>(iii)</t>
  </si>
  <si>
    <t>C.E.A.R.</t>
  </si>
  <si>
    <t>(iv)</t>
  </si>
  <si>
    <t>EL Encash (LTC)</t>
  </si>
  <si>
    <t>(v)</t>
  </si>
  <si>
    <t>Overtime Allowance</t>
  </si>
  <si>
    <t>(vi)</t>
  </si>
  <si>
    <t>(i) to (vi) limited to Rs.</t>
  </si>
  <si>
    <t>Honorarium</t>
  </si>
  <si>
    <t>Sec.80-CCD (1)</t>
  </si>
  <si>
    <t>New Pension Scheme (Contribution by the assessee)</t>
  </si>
  <si>
    <t>limited to Rs.</t>
  </si>
  <si>
    <t>Sec.80-CCE</t>
  </si>
  <si>
    <t>Total u/s.80-C, 80-CCC, 80-CCD</t>
  </si>
  <si>
    <t>Gross Salary</t>
  </si>
  <si>
    <t>Sec.80-CCD (2)</t>
  </si>
  <si>
    <t>New Pension Scheme (Government's contribution)</t>
  </si>
  <si>
    <t>(B)</t>
  </si>
  <si>
    <t>OTHER SECTIONS</t>
  </si>
  <si>
    <t>Details of Deductions</t>
  </si>
  <si>
    <t>Sec.80CCD (1b)</t>
  </si>
  <si>
    <t>Additional contribution under NPS</t>
  </si>
  <si>
    <t>Rent paid for HRA Exemption</t>
  </si>
  <si>
    <t>Sec.80-CCG</t>
  </si>
  <si>
    <t>RGESS</t>
  </si>
  <si>
    <t>Ded U/S.16-Professional Tax</t>
  </si>
  <si>
    <t>Sec.80-D</t>
  </si>
  <si>
    <t>Medical Insr. Prem</t>
  </si>
  <si>
    <t>Any Other Income</t>
  </si>
  <si>
    <t>CGHS Contribution</t>
  </si>
  <si>
    <t>Inc. from House Property</t>
  </si>
  <si>
    <t>Rental income</t>
  </si>
  <si>
    <t>Less:Municipal Taxes</t>
  </si>
  <si>
    <t>Net Annual Value</t>
  </si>
  <si>
    <t>30% std ded on NAV</t>
  </si>
  <si>
    <t>Interest on home loan</t>
  </si>
  <si>
    <t>Net Chargeable Income</t>
  </si>
  <si>
    <t>Total of Sec.80-D</t>
  </si>
  <si>
    <t xml:space="preserve">(i) Self Occupied </t>
  </si>
  <si>
    <t>(d)</t>
  </si>
  <si>
    <t>Sec.80-DD</t>
  </si>
  <si>
    <t>Handicapped dependant</t>
  </si>
  <si>
    <t>(ii) Let out</t>
  </si>
  <si>
    <t>(e)</t>
  </si>
  <si>
    <t>Sec.80-DDB</t>
  </si>
  <si>
    <t>Medical treatment</t>
  </si>
  <si>
    <t>(iii) Let out</t>
  </si>
  <si>
    <t>(f)</t>
  </si>
  <si>
    <t>Sec.80-E</t>
  </si>
  <si>
    <t>Education Loan (Int. only)</t>
  </si>
  <si>
    <t>Interest on Housing Loan</t>
  </si>
  <si>
    <t>(g)</t>
  </si>
  <si>
    <t>Sec.80-G</t>
  </si>
  <si>
    <t>Donations</t>
  </si>
  <si>
    <t>Dedns under Ch. VI A</t>
  </si>
  <si>
    <t>(h)</t>
  </si>
  <si>
    <t>Sec.80-TTA</t>
  </si>
  <si>
    <t>Int. on SB</t>
  </si>
  <si>
    <t>Sec-80C</t>
  </si>
  <si>
    <t>Sec.80-U</t>
  </si>
  <si>
    <t>Handicapped Assessee</t>
  </si>
  <si>
    <t>GPF Contribution</t>
  </si>
  <si>
    <t>Aggregate of deductible amount under Ch.VI-A</t>
  </si>
  <si>
    <t>CGEGIS</t>
  </si>
  <si>
    <r>
      <rPr>
        <sz val="10"/>
        <rFont val="Tahoma"/>
        <family val="2"/>
      </rPr>
      <t>TOTAL INCOME (8 - 10) (</t>
    </r>
    <r>
      <rPr>
        <i/>
        <sz val="10"/>
        <rFont val="Tahoma"/>
        <family val="2"/>
      </rPr>
      <t>Rounded to nearest TEN Rupees</t>
    </r>
    <r>
      <rPr>
        <sz val="10"/>
        <rFont val="Tahoma"/>
        <family val="2"/>
      </rPr>
      <t>)</t>
    </r>
  </si>
  <si>
    <t>HBA Repayment</t>
  </si>
  <si>
    <t>TAX ON TOTAL INCOME</t>
  </si>
  <si>
    <t>PLI/LIC/MF</t>
  </si>
  <si>
    <t>Taxable Income</t>
  </si>
  <si>
    <t>Income Tax</t>
  </si>
  <si>
    <t>Catgy. of Assessee</t>
  </si>
  <si>
    <t>Total Income</t>
  </si>
  <si>
    <t>Rate</t>
  </si>
  <si>
    <t>Income Tax (Rs.)</t>
  </si>
  <si>
    <t>Tuition Fees paid</t>
  </si>
  <si>
    <t>Senior Citizen</t>
  </si>
  <si>
    <t>NIL</t>
  </si>
  <si>
    <t>Total U/S. 80C</t>
  </si>
  <si>
    <t>Sec-80CCD (1)-NPS Contr</t>
  </si>
  <si>
    <t>Tot - 80C, 80CCC &amp; 80CCD (1)</t>
  </si>
  <si>
    <t>-do-</t>
  </si>
  <si>
    <t>Sec-80CCD (2)-Govt Contr</t>
  </si>
  <si>
    <t>Sec-80CCD(1b)-Addl. NPS</t>
  </si>
  <si>
    <t>Sec-80CCG - RGESS</t>
  </si>
  <si>
    <t>Sec-80D-Medical Insur. Prem.</t>
  </si>
  <si>
    <t>Above</t>
  </si>
  <si>
    <t>Sec-80D-CGHS Contribution</t>
  </si>
  <si>
    <t>Total of Sec 80-D</t>
  </si>
  <si>
    <t xml:space="preserve">TOTAL   </t>
  </si>
  <si>
    <t>Sec-80DD-Handicap Dependent</t>
  </si>
  <si>
    <t>Sec. 87A - Tax Rebate</t>
  </si>
  <si>
    <t>Sec-80DDB-Medical Treatment</t>
  </si>
  <si>
    <t>Tax on Total Income after Tax Rebate u/s. 87A (12 - 13)</t>
  </si>
  <si>
    <t>Sec-80E-Educn Loan (Int only)</t>
  </si>
  <si>
    <t xml:space="preserve">Edn Cess + Health Cess @ </t>
  </si>
  <si>
    <t>Sec-80G-Donations</t>
  </si>
  <si>
    <t>Tax payable (14 + 15)</t>
  </si>
  <si>
    <t>Sec-80TTA</t>
  </si>
  <si>
    <t>Relief under Section 89 (attach details)</t>
  </si>
  <si>
    <t>Sec-80U-Handcap Assessee</t>
  </si>
  <si>
    <t>Tax payable (16 - 17)</t>
  </si>
  <si>
    <t>Relief u/s. 89 (Attach Details)</t>
  </si>
  <si>
    <r>
      <rPr>
        <sz val="10"/>
        <rFont val="Tahoma"/>
        <family val="2"/>
      </rPr>
      <t>Income Tax paid (</t>
    </r>
    <r>
      <rPr>
        <i/>
        <sz val="10"/>
        <rFont val="Tahoma"/>
        <family val="2"/>
      </rPr>
      <t>Details as per Worksheet attached</t>
    </r>
    <r>
      <rPr>
        <sz val="10"/>
        <rFont val="Tahoma"/>
        <family val="2"/>
      </rPr>
      <t>)</t>
    </r>
  </si>
  <si>
    <t>Balance Tax [18 - 19]</t>
  </si>
  <si>
    <t>(2) Tax Deducted at Source</t>
  </si>
  <si>
    <t>Deduction made in</t>
  </si>
  <si>
    <t>This Off</t>
  </si>
  <si>
    <t>SIGNATURE    :</t>
  </si>
  <si>
    <t>IT deducted</t>
  </si>
  <si>
    <t>NAME            :</t>
  </si>
  <si>
    <t>Cess deducted</t>
  </si>
  <si>
    <t>DESIGNATION :</t>
  </si>
  <si>
    <t>Total TDS deducted</t>
  </si>
  <si>
    <t>OFFICE          :</t>
  </si>
  <si>
    <t>I.T. thru Challan/Bank</t>
  </si>
  <si>
    <t>DATE             :</t>
  </si>
  <si>
    <t>Cess thru Challan/Bank</t>
  </si>
  <si>
    <t>Total TDS thru Challan/Bank</t>
  </si>
  <si>
    <t>Total Payment in This Off</t>
  </si>
  <si>
    <t>HRA Exemption</t>
  </si>
  <si>
    <t>Nett</t>
  </si>
  <si>
    <t>Total TDS at This Off</t>
  </si>
  <si>
    <t>Total Payment in Other Off</t>
  </si>
  <si>
    <t>Total TDS at Other Off</t>
  </si>
  <si>
    <t>IT</t>
  </si>
  <si>
    <t>Cess</t>
  </si>
  <si>
    <t>-U/s.89</t>
  </si>
  <si>
    <t>Bal.</t>
  </si>
  <si>
    <t>Total IT payable</t>
  </si>
  <si>
    <t>(ii) Standard Deduction for Salaried &amp; Pensioner (Rs 50,000) Budget 2019</t>
  </si>
  <si>
    <t>July</t>
  </si>
  <si>
    <t>PPF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</si>
</sst>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/mm\/yyyy"/>
    <numFmt numFmtId="165" formatCode="mm/yyyy"/>
    <numFmt numFmtId="166" formatCode="dd\-mm\-yyyy"/>
    <numFmt numFmtId="167" formatCode="dd\-mmm\-yyyy"/>
  </numFmts>
  <fonts count="15">
    <font>
      <sz val="11"/>
      <color theme="1"/>
      <name val="Calibri"/>
      <family val="2"/>
      <scheme val="minor"/>
    </font>
    <font>
      <sz val="7"/>
      <name val="Tahoma"/>
      <family val="2"/>
    </font>
    <font>
      <b/>
      <u/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i/>
      <sz val="10"/>
      <name val="Tahoma"/>
      <family val="2"/>
    </font>
    <font>
      <sz val="10"/>
      <name val="Rupee Foradian"/>
      <charset val="134"/>
    </font>
    <font>
      <i/>
      <sz val="8"/>
      <name val="Tahoma"/>
      <family val="2"/>
    </font>
    <font>
      <i/>
      <sz val="10"/>
      <name val="Arial"/>
      <family val="2"/>
    </font>
    <font>
      <sz val="8"/>
      <name val="Tahoma"/>
      <family val="2"/>
    </font>
    <font>
      <u/>
      <sz val="10"/>
      <name val="Tahoma"/>
      <family val="2"/>
    </font>
    <font>
      <b/>
      <sz val="8"/>
      <name val="Tahoma"/>
      <family val="2"/>
    </font>
    <font>
      <sz val="8"/>
      <name val="Rupee Foradian"/>
      <charset val="134"/>
    </font>
    <font>
      <b/>
      <sz val="8"/>
      <name val="Rupee Foradian"/>
      <charset val="134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gray125">
        <bgColor rgb="FF92D050"/>
      </patternFill>
    </fill>
    <fill>
      <patternFill patternType="solid">
        <fgColor indexed="65"/>
        <bgColor indexed="64"/>
      </patternFill>
    </fill>
    <fill>
      <patternFill patternType="gray125">
        <bgColor theme="0"/>
      </patternFill>
    </fill>
    <fill>
      <patternFill patternType="solid">
        <fgColor rgb="FFCDFFFF"/>
        <bgColor indexed="64"/>
      </patternFill>
    </fill>
  </fills>
  <borders count="2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Down="1">
      <left/>
      <right/>
      <top style="thin">
        <color auto="1"/>
      </top>
      <bottom/>
      <diagonal style="thin">
        <color auto="1"/>
      </diagonal>
    </border>
    <border>
      <left style="thin">
        <color auto="1"/>
      </left>
      <right/>
      <top/>
      <bottom/>
      <diagonal/>
    </border>
    <border diagonalDown="1">
      <left/>
      <right/>
      <top/>
      <bottom/>
      <diagonal style="thin">
        <color auto="1"/>
      </diagonal>
    </border>
    <border diagonalDown="1">
      <left/>
      <right style="thin">
        <color auto="1"/>
      </right>
      <top/>
      <bottom/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0" fillId="0" borderId="0" xfId="0" applyNumberFormat="1" applyFill="1" applyBorder="1" applyAlignment="1">
      <alignment vertical="center" shrinkToFit="1"/>
    </xf>
    <xf numFmtId="0" fontId="3" fillId="3" borderId="5" xfId="0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horizontal="center" vertical="center" shrinkToFit="1"/>
    </xf>
    <xf numFmtId="0" fontId="3" fillId="0" borderId="5" xfId="0" applyFont="1" applyFill="1" applyBorder="1" applyAlignment="1">
      <alignment horizontal="center" vertical="center" shrinkToFit="1"/>
    </xf>
    <xf numFmtId="0" fontId="3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9" fontId="3" fillId="0" borderId="0" xfId="0" applyNumberFormat="1" applyFont="1" applyBorder="1" applyAlignment="1">
      <alignment vertical="center"/>
    </xf>
    <xf numFmtId="0" fontId="3" fillId="3" borderId="6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left" vertical="center" shrinkToFit="1"/>
    </xf>
    <xf numFmtId="0" fontId="4" fillId="0" borderId="3" xfId="0" applyFont="1" applyFill="1" applyBorder="1" applyAlignment="1">
      <alignment horizontal="left" vertical="center" shrinkToFit="1"/>
    </xf>
    <xf numFmtId="0" fontId="5" fillId="0" borderId="3" xfId="0" applyFont="1" applyFill="1" applyBorder="1" applyAlignment="1">
      <alignment horizontal="left" vertical="center" shrinkToFit="1"/>
    </xf>
    <xf numFmtId="0" fontId="3" fillId="0" borderId="0" xfId="0" applyFont="1" applyFill="1" applyBorder="1" applyAlignment="1">
      <alignment horizontal="center" vertical="center" shrinkToFit="1"/>
    </xf>
    <xf numFmtId="0" fontId="3" fillId="0" borderId="0" xfId="0" applyNumberFormat="1" applyFont="1" applyFill="1" applyBorder="1" applyAlignment="1">
      <alignment vertical="center" shrinkToFit="1"/>
    </xf>
    <xf numFmtId="0" fontId="3" fillId="3" borderId="10" xfId="0" applyFont="1" applyFill="1" applyBorder="1" applyAlignment="1">
      <alignment horizontal="center" vertical="center" shrinkToFit="1"/>
    </xf>
    <xf numFmtId="0" fontId="3" fillId="0" borderId="3" xfId="0" applyFont="1" applyFill="1" applyBorder="1" applyAlignment="1">
      <alignment horizontal="center" vertical="center" shrinkToFit="1"/>
    </xf>
    <xf numFmtId="164" fontId="3" fillId="0" borderId="0" xfId="0" applyNumberFormat="1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3" fillId="0" borderId="12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0" xfId="0" applyFont="1" applyFill="1" applyBorder="1" applyAlignment="1">
      <alignment horizontal="center" vertical="center" shrinkToFit="1"/>
    </xf>
    <xf numFmtId="0" fontId="3" fillId="0" borderId="6" xfId="0" applyFont="1" applyBorder="1" applyAlignment="1">
      <alignment vertical="center" shrinkToFit="1"/>
    </xf>
    <xf numFmtId="0" fontId="3" fillId="0" borderId="7" xfId="0" applyNumberFormat="1" applyFont="1" applyBorder="1" applyAlignment="1">
      <alignment vertical="center" shrinkToFit="1"/>
    </xf>
    <xf numFmtId="0" fontId="3" fillId="0" borderId="2" xfId="0" applyFont="1" applyBorder="1" applyAlignment="1">
      <alignment vertical="center" shrinkToFit="1"/>
    </xf>
    <xf numFmtId="0" fontId="7" fillId="0" borderId="7" xfId="0" applyNumberFormat="1" applyFont="1" applyBorder="1" applyAlignment="1">
      <alignment horizontal="right" vertical="center" shrinkToFit="1"/>
    </xf>
    <xf numFmtId="0" fontId="3" fillId="0" borderId="7" xfId="0" applyFont="1" applyBorder="1" applyAlignment="1">
      <alignment vertical="center" shrinkToFit="1"/>
    </xf>
    <xf numFmtId="0" fontId="3" fillId="0" borderId="8" xfId="0" applyNumberFormat="1" applyFont="1" applyBorder="1" applyAlignment="1">
      <alignment vertical="center" shrinkToFit="1"/>
    </xf>
    <xf numFmtId="0" fontId="3" fillId="0" borderId="7" xfId="0" applyFont="1" applyBorder="1" applyAlignment="1">
      <alignment vertical="center"/>
    </xf>
    <xf numFmtId="0" fontId="4" fillId="0" borderId="0" xfId="0" applyFont="1" applyFill="1" applyBorder="1" applyAlignment="1">
      <alignment vertical="center" shrinkToFit="1"/>
    </xf>
    <xf numFmtId="0" fontId="3" fillId="0" borderId="16" xfId="0" applyFont="1" applyBorder="1" applyAlignment="1">
      <alignment vertical="center" shrinkToFit="1"/>
    </xf>
    <xf numFmtId="0" fontId="3" fillId="0" borderId="0" xfId="0" applyNumberFormat="1" applyFont="1" applyBorder="1" applyAlignment="1">
      <alignment vertical="center" shrinkToFit="1"/>
    </xf>
    <xf numFmtId="0" fontId="3" fillId="0" borderId="16" xfId="0" applyNumberFormat="1" applyFont="1" applyBorder="1" applyAlignment="1">
      <alignment horizontal="right" vertical="center" shrinkToFit="1"/>
    </xf>
    <xf numFmtId="0" fontId="3" fillId="0" borderId="16" xfId="0" applyFont="1" applyBorder="1" applyAlignment="1">
      <alignment vertical="center"/>
    </xf>
    <xf numFmtId="0" fontId="7" fillId="0" borderId="12" xfId="0" applyFont="1" applyBorder="1" applyAlignment="1">
      <alignment horizontal="right" vertical="center" shrinkToFit="1"/>
    </xf>
    <xf numFmtId="0" fontId="3" fillId="0" borderId="0" xfId="0" applyFont="1" applyBorder="1" applyAlignment="1">
      <alignment vertical="center" shrinkToFit="1"/>
    </xf>
    <xf numFmtId="0" fontId="0" fillId="0" borderId="0" xfId="0" applyBorder="1" applyAlignment="1">
      <alignment horizontal="right" vertical="center" shrinkToFit="1"/>
    </xf>
    <xf numFmtId="0" fontId="0" fillId="0" borderId="0" xfId="0" quotePrefix="1" applyBorder="1" applyAlignment="1">
      <alignment horizontal="center" vertical="center" shrinkToFit="1"/>
    </xf>
    <xf numFmtId="0" fontId="7" fillId="0" borderId="0" xfId="0" applyFont="1" applyBorder="1" applyAlignment="1">
      <alignment horizontal="right" vertical="center" shrinkToFit="1"/>
    </xf>
    <xf numFmtId="0" fontId="0" fillId="0" borderId="0" xfId="0" applyBorder="1" applyAlignment="1">
      <alignment vertical="center" shrinkToFit="1"/>
    </xf>
    <xf numFmtId="0" fontId="7" fillId="0" borderId="3" xfId="0" applyFont="1" applyBorder="1" applyAlignment="1">
      <alignment horizontal="right" vertical="center" shrinkToFit="1"/>
    </xf>
    <xf numFmtId="0" fontId="3" fillId="0" borderId="9" xfId="0" applyFont="1" applyBorder="1" applyAlignment="1">
      <alignment vertical="center" shrinkToFit="1"/>
    </xf>
    <xf numFmtId="0" fontId="3" fillId="0" borderId="1" xfId="0" applyFont="1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7" fillId="0" borderId="16" xfId="0" applyNumberFormat="1" applyFont="1" applyBorder="1" applyAlignment="1">
      <alignment horizontal="right" vertical="center" shrinkToFit="1"/>
    </xf>
    <xf numFmtId="0" fontId="3" fillId="0" borderId="11" xfId="0" applyFont="1" applyBorder="1" applyAlignment="1">
      <alignment vertical="center" shrinkToFit="1"/>
    </xf>
    <xf numFmtId="0" fontId="3" fillId="0" borderId="13" xfId="0" applyFont="1" applyBorder="1" applyAlignment="1">
      <alignment vertical="center" shrinkToFit="1"/>
    </xf>
    <xf numFmtId="0" fontId="7" fillId="0" borderId="2" xfId="0" applyNumberFormat="1" applyFont="1" applyBorder="1" applyAlignment="1">
      <alignment horizontal="right" vertical="center" shrinkToFit="1"/>
    </xf>
    <xf numFmtId="0" fontId="3" fillId="0" borderId="5" xfId="0" applyFont="1" applyBorder="1" applyAlignment="1">
      <alignment vertical="center" shrinkToFit="1"/>
    </xf>
    <xf numFmtId="0" fontId="3" fillId="0" borderId="2" xfId="0" applyNumberFormat="1" applyFont="1" applyBorder="1" applyAlignment="1">
      <alignment vertical="center" shrinkToFit="1"/>
    </xf>
    <xf numFmtId="0" fontId="3" fillId="0" borderId="2" xfId="0" applyFont="1" applyBorder="1" applyAlignment="1">
      <alignment vertical="center"/>
    </xf>
    <xf numFmtId="0" fontId="3" fillId="0" borderId="10" xfId="0" applyFont="1" applyBorder="1" applyAlignment="1">
      <alignment vertical="center" shrinkToFit="1"/>
    </xf>
    <xf numFmtId="0" fontId="3" fillId="0" borderId="16" xfId="0" applyNumberFormat="1" applyFont="1" applyBorder="1" applyAlignment="1">
      <alignment vertical="center" shrinkToFit="1"/>
    </xf>
    <xf numFmtId="0" fontId="3" fillId="0" borderId="19" xfId="0" applyFont="1" applyBorder="1" applyAlignment="1">
      <alignment vertical="center" shrinkToFit="1"/>
    </xf>
    <xf numFmtId="0" fontId="3" fillId="0" borderId="11" xfId="0" applyNumberFormat="1" applyFont="1" applyBorder="1" applyAlignment="1">
      <alignment horizontal="right" vertical="center" shrinkToFit="1"/>
    </xf>
    <xf numFmtId="0" fontId="3" fillId="0" borderId="11" xfId="0" applyNumberFormat="1" applyFont="1" applyBorder="1" applyAlignment="1">
      <alignment vertical="center" shrinkToFit="1"/>
    </xf>
    <xf numFmtId="0" fontId="3" fillId="0" borderId="11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3" fillId="0" borderId="12" xfId="0" applyFont="1" applyBorder="1" applyAlignment="1">
      <alignment vertical="center" shrinkToFit="1"/>
    </xf>
    <xf numFmtId="0" fontId="3" fillId="0" borderId="6" xfId="0" applyFont="1" applyFill="1" applyBorder="1" applyAlignment="1">
      <alignment vertical="center" shrinkToFit="1"/>
    </xf>
    <xf numFmtId="0" fontId="3" fillId="0" borderId="10" xfId="0" applyFont="1" applyBorder="1" applyAlignment="1">
      <alignment vertical="center"/>
    </xf>
    <xf numFmtId="0" fontId="7" fillId="0" borderId="11" xfId="0" applyFont="1" applyBorder="1" applyAlignment="1">
      <alignment horizontal="right" vertical="center" shrinkToFit="1"/>
    </xf>
    <xf numFmtId="0" fontId="0" fillId="0" borderId="0" xfId="0" applyAlignment="1">
      <alignment vertical="center" shrinkToFit="1"/>
    </xf>
    <xf numFmtId="0" fontId="7" fillId="0" borderId="2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 shrinkToFit="1"/>
    </xf>
    <xf numFmtId="0" fontId="3" fillId="0" borderId="0" xfId="0" applyNumberFormat="1" applyFont="1" applyBorder="1" applyAlignment="1">
      <alignment horizontal="right" vertical="center" shrinkToFit="1"/>
    </xf>
    <xf numFmtId="0" fontId="10" fillId="0" borderId="16" xfId="0" applyFont="1" applyBorder="1" applyAlignment="1">
      <alignment vertical="center" shrinkToFit="1"/>
    </xf>
    <xf numFmtId="0" fontId="3" fillId="1" borderId="16" xfId="0" applyNumberFormat="1" applyFont="1" applyFill="1" applyBorder="1" applyAlignment="1">
      <alignment vertical="center" shrinkToFit="1"/>
    </xf>
    <xf numFmtId="0" fontId="3" fillId="1" borderId="1" xfId="0" applyNumberFormat="1" applyFont="1" applyFill="1" applyBorder="1" applyAlignment="1">
      <alignment vertical="center" shrinkToFit="1"/>
    </xf>
    <xf numFmtId="0" fontId="10" fillId="0" borderId="11" xfId="0" applyFont="1" applyBorder="1" applyAlignment="1">
      <alignment vertical="center" shrinkToFit="1"/>
    </xf>
    <xf numFmtId="0" fontId="3" fillId="0" borderId="12" xfId="0" applyNumberFormat="1" applyFont="1" applyBorder="1" applyAlignment="1">
      <alignment horizontal="right" vertical="center" shrinkToFit="1"/>
    </xf>
    <xf numFmtId="0" fontId="0" fillId="0" borderId="12" xfId="0" applyBorder="1" applyAlignment="1">
      <alignment vertical="center" shrinkToFit="1"/>
    </xf>
    <xf numFmtId="0" fontId="7" fillId="0" borderId="11" xfId="0" applyNumberFormat="1" applyFont="1" applyBorder="1" applyAlignment="1">
      <alignment horizontal="right" vertical="center" shrinkToFit="1"/>
    </xf>
    <xf numFmtId="0" fontId="13" fillId="0" borderId="2" xfId="0" applyFont="1" applyBorder="1" applyAlignment="1">
      <alignment horizontal="right" vertical="center" shrinkToFit="1"/>
    </xf>
    <xf numFmtId="9" fontId="10" fillId="0" borderId="5" xfId="0" applyNumberFormat="1" applyFont="1" applyBorder="1" applyAlignment="1">
      <alignment vertical="center" shrinkToFit="1"/>
    </xf>
    <xf numFmtId="0" fontId="3" fillId="0" borderId="0" xfId="0" applyFont="1" applyFill="1" applyBorder="1" applyAlignment="1">
      <alignment vertical="center" shrinkToFit="1"/>
    </xf>
    <xf numFmtId="0" fontId="14" fillId="0" borderId="2" xfId="0" applyFont="1" applyBorder="1" applyAlignment="1">
      <alignment horizontal="right" vertical="center" shrinkToFit="1"/>
    </xf>
    <xf numFmtId="0" fontId="14" fillId="0" borderId="5" xfId="0" applyFont="1" applyBorder="1" applyAlignment="1">
      <alignment horizontal="right" vertical="center" shrinkToFit="1"/>
    </xf>
    <xf numFmtId="0" fontId="3" fillId="0" borderId="2" xfId="0" applyNumberFormat="1" applyFont="1" applyBorder="1" applyAlignment="1">
      <alignment horizontal="right" vertical="center" shrinkToFit="1"/>
    </xf>
    <xf numFmtId="9" fontId="3" fillId="5" borderId="3" xfId="0" applyNumberFormat="1" applyFont="1" applyFill="1" applyBorder="1" applyAlignment="1">
      <alignment vertical="center" shrinkToFit="1"/>
    </xf>
    <xf numFmtId="9" fontId="3" fillId="0" borderId="3" xfId="0" applyNumberFormat="1" applyFont="1" applyFill="1" applyBorder="1" applyAlignment="1">
      <alignment vertical="center" shrinkToFit="1"/>
    </xf>
    <xf numFmtId="0" fontId="3" fillId="0" borderId="5" xfId="0" applyNumberFormat="1" applyFont="1" applyBorder="1" applyAlignment="1">
      <alignment vertical="center" shrinkToFit="1"/>
    </xf>
    <xf numFmtId="0" fontId="3" fillId="0" borderId="2" xfId="0" applyFont="1" applyBorder="1" applyAlignment="1">
      <alignment horizontal="right" vertical="center" shrinkToFit="1"/>
    </xf>
    <xf numFmtId="0" fontId="3" fillId="0" borderId="0" xfId="0" applyFont="1" applyBorder="1" applyAlignment="1">
      <alignment horizontal="center" vertical="center" shrinkToFit="1"/>
    </xf>
    <xf numFmtId="167" fontId="4" fillId="0" borderId="0" xfId="0" applyNumberFormat="1" applyFont="1" applyBorder="1" applyAlignment="1">
      <alignment horizontal="center" vertical="center" shrinkToFit="1"/>
    </xf>
    <xf numFmtId="1" fontId="0" fillId="0" borderId="0" xfId="0" applyNumberFormat="1"/>
    <xf numFmtId="0" fontId="4" fillId="0" borderId="0" xfId="0" applyFont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3" fillId="0" borderId="2" xfId="0" applyFont="1" applyFill="1" applyBorder="1" applyAlignment="1">
      <alignment horizontal="center" vertical="center" shrinkToFit="1"/>
    </xf>
    <xf numFmtId="0" fontId="0" fillId="0" borderId="3" xfId="0" applyFill="1" applyBorder="1" applyAlignment="1">
      <alignment horizontal="center" vertical="center" shrinkToFit="1"/>
    </xf>
    <xf numFmtId="0" fontId="3" fillId="0" borderId="3" xfId="0" quotePrefix="1" applyFont="1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4" fillId="5" borderId="2" xfId="0" applyFont="1" applyFill="1" applyBorder="1" applyAlignment="1">
      <alignment vertical="center" shrinkToFit="1"/>
    </xf>
    <xf numFmtId="0" fontId="4" fillId="5" borderId="3" xfId="0" applyFont="1" applyFill="1" applyBorder="1" applyAlignment="1">
      <alignment vertical="center" shrinkToFit="1"/>
    </xf>
    <xf numFmtId="0" fontId="0" fillId="5" borderId="3" xfId="0" applyFill="1" applyBorder="1" applyAlignment="1">
      <alignment vertical="center" shrinkToFit="1"/>
    </xf>
    <xf numFmtId="0" fontId="0" fillId="5" borderId="4" xfId="0" applyFill="1" applyBorder="1" applyAlignment="1">
      <alignment vertical="center" shrinkToFit="1"/>
    </xf>
    <xf numFmtId="0" fontId="3" fillId="0" borderId="5" xfId="0" applyFont="1" applyBorder="1" applyAlignment="1">
      <alignment vertical="center" shrinkToFit="1"/>
    </xf>
    <xf numFmtId="0" fontId="0" fillId="0" borderId="5" xfId="0" applyBorder="1" applyAlignment="1">
      <alignment vertical="center" shrinkToFit="1"/>
    </xf>
    <xf numFmtId="9" fontId="3" fillId="4" borderId="2" xfId="0" applyNumberFormat="1" applyFont="1" applyFill="1" applyBorder="1" applyAlignment="1">
      <alignment vertical="center" shrinkToFit="1"/>
    </xf>
    <xf numFmtId="0" fontId="0" fillId="4" borderId="4" xfId="0" applyFill="1" applyBorder="1" applyAlignment="1">
      <alignment vertical="center" shrinkToFit="1"/>
    </xf>
    <xf numFmtId="0" fontId="3" fillId="3" borderId="2" xfId="0" applyFont="1" applyFill="1" applyBorder="1" applyAlignment="1">
      <alignment horizontal="center" vertical="center" shrinkToFit="1"/>
    </xf>
    <xf numFmtId="0" fontId="0" fillId="3" borderId="3" xfId="0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vertical="center" shrinkToFit="1"/>
    </xf>
    <xf numFmtId="0" fontId="4" fillId="0" borderId="3" xfId="0" applyFont="1" applyFill="1" applyBorder="1" applyAlignment="1">
      <alignment vertical="center" shrinkToFit="1"/>
    </xf>
    <xf numFmtId="0" fontId="5" fillId="0" borderId="3" xfId="0" applyFont="1" applyFill="1" applyBorder="1" applyAlignment="1">
      <alignment vertical="center" shrinkToFit="1"/>
    </xf>
    <xf numFmtId="0" fontId="5" fillId="0" borderId="4" xfId="0" applyFont="1" applyFill="1" applyBorder="1" applyAlignment="1">
      <alignment vertical="center" shrinkToFit="1"/>
    </xf>
    <xf numFmtId="0" fontId="4" fillId="2" borderId="2" xfId="0" applyFont="1" applyFill="1" applyBorder="1" applyAlignment="1">
      <alignment vertical="center" shrinkToFit="1"/>
    </xf>
    <xf numFmtId="0" fontId="4" fillId="2" borderId="3" xfId="0" applyFont="1" applyFill="1" applyBorder="1" applyAlignment="1">
      <alignment vertical="center" shrinkToFit="1"/>
    </xf>
    <xf numFmtId="0" fontId="4" fillId="2" borderId="4" xfId="0" applyFont="1" applyFill="1" applyBorder="1" applyAlignment="1">
      <alignment vertical="center" shrinkToFit="1"/>
    </xf>
    <xf numFmtId="0" fontId="3" fillId="0" borderId="7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left" vertical="center" shrinkToFit="1"/>
    </xf>
    <xf numFmtId="0" fontId="0" fillId="0" borderId="3" xfId="0" applyBorder="1" applyAlignment="1">
      <alignment horizontal="left" vertical="center" shrinkToFit="1"/>
    </xf>
    <xf numFmtId="0" fontId="0" fillId="0" borderId="4" xfId="0" applyBorder="1" applyAlignment="1">
      <alignment horizontal="left" vertical="center" shrinkToFit="1"/>
    </xf>
    <xf numFmtId="0" fontId="4" fillId="4" borderId="2" xfId="0" applyFont="1" applyFill="1" applyBorder="1" applyAlignment="1">
      <alignment vertical="center" shrinkToFit="1"/>
    </xf>
    <xf numFmtId="0" fontId="4" fillId="4" borderId="3" xfId="0" applyFont="1" applyFill="1" applyBorder="1" applyAlignment="1">
      <alignment vertical="center" shrinkToFit="1"/>
    </xf>
    <xf numFmtId="0" fontId="5" fillId="4" borderId="3" xfId="0" applyFont="1" applyFill="1" applyBorder="1" applyAlignment="1">
      <alignment vertical="center" shrinkToFit="1"/>
    </xf>
    <xf numFmtId="0" fontId="5" fillId="4" borderId="4" xfId="0" applyFont="1" applyFill="1" applyBorder="1" applyAlignment="1">
      <alignment vertical="center" shrinkToFit="1"/>
    </xf>
    <xf numFmtId="0" fontId="3" fillId="0" borderId="2" xfId="0" applyFont="1" applyBorder="1" applyAlignment="1">
      <alignment horizontal="left" vertical="center" shrinkToFit="1"/>
    </xf>
    <xf numFmtId="0" fontId="3" fillId="0" borderId="3" xfId="0" applyFont="1" applyBorder="1" applyAlignment="1">
      <alignment horizontal="left" vertical="center" shrinkToFit="1"/>
    </xf>
    <xf numFmtId="0" fontId="3" fillId="0" borderId="4" xfId="0" applyFont="1" applyBorder="1" applyAlignment="1">
      <alignment horizontal="left" vertical="center" shrinkToFit="1"/>
    </xf>
    <xf numFmtId="0" fontId="3" fillId="3" borderId="7" xfId="0" applyFont="1" applyFill="1" applyBorder="1" applyAlignment="1">
      <alignment horizontal="right" vertical="center" shrinkToFit="1"/>
    </xf>
    <xf numFmtId="0" fontId="3" fillId="3" borderId="9" xfId="0" applyFont="1" applyFill="1" applyBorder="1" applyAlignment="1">
      <alignment horizontal="right" vertical="center" shrinkToFit="1"/>
    </xf>
    <xf numFmtId="0" fontId="4" fillId="4" borderId="2" xfId="0" applyFont="1" applyFill="1" applyBorder="1" applyAlignment="1">
      <alignment horizontal="left" vertical="center" shrinkToFit="1"/>
    </xf>
    <xf numFmtId="0" fontId="0" fillId="0" borderId="8" xfId="0" applyBorder="1" applyAlignment="1">
      <alignment horizontal="center" vertical="center" shrinkToFit="1"/>
    </xf>
    <xf numFmtId="0" fontId="3" fillId="0" borderId="8" xfId="0" quotePrefix="1" applyFont="1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0" fontId="4" fillId="0" borderId="2" xfId="0" applyFont="1" applyBorder="1" applyAlignment="1">
      <alignment vertical="center" shrinkToFit="1"/>
    </xf>
    <xf numFmtId="0" fontId="4" fillId="0" borderId="3" xfId="0" applyFont="1" applyBorder="1" applyAlignment="1">
      <alignment vertical="center" shrinkToFit="1"/>
    </xf>
    <xf numFmtId="0" fontId="0" fillId="0" borderId="3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164" fontId="3" fillId="5" borderId="2" xfId="0" applyNumberFormat="1" applyFont="1" applyFill="1" applyBorder="1" applyAlignment="1">
      <alignment horizontal="center" vertical="center" shrinkToFit="1"/>
    </xf>
    <xf numFmtId="164" fontId="3" fillId="5" borderId="3" xfId="0" applyNumberFormat="1" applyFont="1" applyFill="1" applyBorder="1" applyAlignment="1">
      <alignment horizontal="center" vertical="center" shrinkToFit="1"/>
    </xf>
    <xf numFmtId="164" fontId="3" fillId="5" borderId="4" xfId="0" applyNumberFormat="1" applyFont="1" applyFill="1" applyBorder="1" applyAlignment="1">
      <alignment horizontal="center" vertical="center" shrinkToFit="1"/>
    </xf>
    <xf numFmtId="0" fontId="3" fillId="0" borderId="14" xfId="0" applyFont="1" applyBorder="1" applyAlignment="1">
      <alignment vertical="center" shrinkToFit="1"/>
    </xf>
    <xf numFmtId="0" fontId="3" fillId="0" borderId="15" xfId="0" applyFont="1" applyBorder="1" applyAlignment="1">
      <alignment vertical="center" shrinkToFit="1"/>
    </xf>
    <xf numFmtId="165" fontId="3" fillId="0" borderId="7" xfId="0" applyNumberFormat="1" applyFont="1" applyBorder="1" applyAlignment="1">
      <alignment horizontal="center" vertical="center" shrinkToFit="1"/>
    </xf>
    <xf numFmtId="165" fontId="3" fillId="0" borderId="8" xfId="0" applyNumberFormat="1" applyFont="1" applyBorder="1" applyAlignment="1">
      <alignment horizontal="center" vertical="center" shrinkToFit="1"/>
    </xf>
    <xf numFmtId="165" fontId="3" fillId="0" borderId="9" xfId="0" applyNumberFormat="1" applyFont="1" applyBorder="1" applyAlignment="1">
      <alignment horizontal="center" vertical="center" shrinkToFit="1"/>
    </xf>
    <xf numFmtId="165" fontId="3" fillId="0" borderId="6" xfId="0" applyNumberFormat="1" applyFont="1" applyBorder="1" applyAlignment="1">
      <alignment horizontal="center" vertical="center" shrinkToFit="1"/>
    </xf>
    <xf numFmtId="165" fontId="3" fillId="0" borderId="16" xfId="0" applyNumberFormat="1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12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shrinkToFit="1"/>
    </xf>
    <xf numFmtId="0" fontId="3" fillId="0" borderId="3" xfId="0" applyFont="1" applyFill="1" applyBorder="1" applyAlignment="1">
      <alignment horizontal="center" vertical="center" shrinkToFit="1"/>
    </xf>
    <xf numFmtId="0" fontId="3" fillId="0" borderId="7" xfId="0" applyNumberFormat="1" applyFont="1" applyBorder="1" applyAlignment="1">
      <alignment vertical="center" shrinkToFit="1"/>
    </xf>
    <xf numFmtId="0" fontId="3" fillId="0" borderId="8" xfId="0" applyNumberFormat="1" applyFont="1" applyBorder="1" applyAlignment="1">
      <alignment vertical="center" shrinkToFit="1"/>
    </xf>
    <xf numFmtId="0" fontId="3" fillId="0" borderId="8" xfId="0" applyFont="1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0" fontId="0" fillId="0" borderId="9" xfId="0" applyBorder="1" applyAlignment="1">
      <alignment vertical="center" shrinkToFit="1"/>
    </xf>
    <xf numFmtId="0" fontId="3" fillId="0" borderId="3" xfId="0" applyNumberFormat="1" applyFont="1" applyBorder="1" applyAlignment="1">
      <alignment vertical="center" shrinkToFit="1"/>
    </xf>
    <xf numFmtId="0" fontId="3" fillId="0" borderId="16" xfId="0" applyFont="1" applyBorder="1" applyAlignment="1">
      <alignment vertical="center" shrinkToFit="1"/>
    </xf>
    <xf numFmtId="0" fontId="3" fillId="0" borderId="0" xfId="0" applyFont="1" applyBorder="1" applyAlignment="1">
      <alignment vertical="center" shrinkToFit="1"/>
    </xf>
    <xf numFmtId="0" fontId="3" fillId="0" borderId="17" xfId="0" applyFont="1" applyBorder="1" applyAlignment="1">
      <alignment vertical="center" shrinkToFit="1"/>
    </xf>
    <xf numFmtId="0" fontId="3" fillId="0" borderId="18" xfId="0" applyFont="1" applyBorder="1" applyAlignment="1">
      <alignment vertical="center" shrinkToFit="1"/>
    </xf>
    <xf numFmtId="165" fontId="3" fillId="0" borderId="5" xfId="0" applyNumberFormat="1" applyFont="1" applyBorder="1" applyAlignment="1">
      <alignment horizontal="center" vertical="center" shrinkToFit="1"/>
    </xf>
    <xf numFmtId="0" fontId="3" fillId="0" borderId="19" xfId="0" applyFont="1" applyBorder="1" applyAlignment="1">
      <alignment horizontal="center" vertical="center" shrinkToFit="1"/>
    </xf>
    <xf numFmtId="165" fontId="3" fillId="0" borderId="1" xfId="0" applyNumberFormat="1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3" fillId="0" borderId="7" xfId="0" applyFont="1" applyBorder="1" applyAlignment="1">
      <alignment vertical="center" shrinkToFit="1"/>
    </xf>
    <xf numFmtId="0" fontId="3" fillId="0" borderId="9" xfId="0" applyFont="1" applyBorder="1" applyAlignment="1">
      <alignment vertical="center" shrinkToFit="1"/>
    </xf>
    <xf numFmtId="0" fontId="6" fillId="0" borderId="16" xfId="0" applyNumberFormat="1" applyFont="1" applyBorder="1" applyAlignment="1">
      <alignment vertical="center" shrinkToFit="1"/>
    </xf>
    <xf numFmtId="0" fontId="6" fillId="0" borderId="0" xfId="0" applyNumberFormat="1" applyFont="1" applyBorder="1" applyAlignment="1">
      <alignment vertical="center" shrinkToFit="1"/>
    </xf>
    <xf numFmtId="0" fontId="6" fillId="0" borderId="0" xfId="0" applyFont="1" applyBorder="1" applyAlignment="1">
      <alignment vertical="center" shrinkToFit="1"/>
    </xf>
    <xf numFmtId="0" fontId="0" fillId="0" borderId="0" xfId="0" applyBorder="1" applyAlignment="1">
      <alignment vertical="center" shrinkToFit="1"/>
    </xf>
    <xf numFmtId="0" fontId="3" fillId="0" borderId="0" xfId="0" applyNumberFormat="1" applyFont="1" applyBorder="1" applyAlignment="1">
      <alignment vertical="center" shrinkToFit="1"/>
    </xf>
    <xf numFmtId="0" fontId="3" fillId="0" borderId="1" xfId="0" applyFont="1" applyBorder="1" applyAlignment="1">
      <alignment vertical="center" shrinkToFit="1"/>
    </xf>
    <xf numFmtId="0" fontId="3" fillId="4" borderId="16" xfId="0" applyNumberFormat="1" applyFont="1" applyFill="1" applyBorder="1" applyAlignment="1">
      <alignment vertical="center" shrinkToFit="1"/>
    </xf>
    <xf numFmtId="0" fontId="3" fillId="4" borderId="1" xfId="0" applyNumberFormat="1" applyFont="1" applyFill="1" applyBorder="1" applyAlignment="1">
      <alignment vertical="center" shrinkToFit="1"/>
    </xf>
    <xf numFmtId="0" fontId="3" fillId="3" borderId="8" xfId="0" applyNumberFormat="1" applyFont="1" applyFill="1" applyBorder="1" applyAlignment="1">
      <alignment vertical="center" shrinkToFit="1"/>
    </xf>
    <xf numFmtId="0" fontId="3" fillId="3" borderId="9" xfId="0" applyNumberFormat="1" applyFont="1" applyFill="1" applyBorder="1" applyAlignment="1">
      <alignment vertical="center" shrinkToFit="1"/>
    </xf>
    <xf numFmtId="0" fontId="3" fillId="0" borderId="7" xfId="0" applyNumberFormat="1" applyFont="1" applyFill="1" applyBorder="1" applyAlignment="1">
      <alignment vertical="center" shrinkToFit="1"/>
    </xf>
    <xf numFmtId="0" fontId="3" fillId="0" borderId="9" xfId="0" applyNumberFormat="1" applyFont="1" applyFill="1" applyBorder="1" applyAlignment="1">
      <alignment vertical="center" shrinkToFit="1"/>
    </xf>
    <xf numFmtId="0" fontId="3" fillId="1" borderId="7" xfId="0" applyNumberFormat="1" applyFont="1" applyFill="1" applyBorder="1" applyAlignment="1">
      <alignment horizontal="center" vertical="center" shrinkToFit="1"/>
    </xf>
    <xf numFmtId="0" fontId="3" fillId="1" borderId="9" xfId="0" applyNumberFormat="1" applyFont="1" applyFill="1" applyBorder="1" applyAlignment="1">
      <alignment horizontal="center" vertical="center" shrinkToFit="1"/>
    </xf>
    <xf numFmtId="0" fontId="3" fillId="0" borderId="11" xfId="0" applyFont="1" applyBorder="1" applyAlignment="1">
      <alignment vertical="center" shrinkToFit="1"/>
    </xf>
    <xf numFmtId="0" fontId="3" fillId="0" borderId="12" xfId="0" applyFont="1" applyBorder="1" applyAlignment="1">
      <alignment vertical="center" shrinkToFit="1"/>
    </xf>
    <xf numFmtId="0" fontId="3" fillId="0" borderId="13" xfId="0" applyFont="1" applyBorder="1" applyAlignment="1">
      <alignment vertical="center" shrinkToFit="1"/>
    </xf>
    <xf numFmtId="0" fontId="3" fillId="3" borderId="11" xfId="0" applyNumberFormat="1" applyFont="1" applyFill="1" applyBorder="1" applyAlignment="1">
      <alignment vertical="center" shrinkToFit="1"/>
    </xf>
    <xf numFmtId="0" fontId="3" fillId="3" borderId="13" xfId="0" applyNumberFormat="1" applyFont="1" applyFill="1" applyBorder="1" applyAlignment="1">
      <alignment vertical="center" shrinkToFit="1"/>
    </xf>
    <xf numFmtId="0" fontId="3" fillId="0" borderId="16" xfId="0" applyNumberFormat="1" applyFont="1" applyFill="1" applyBorder="1" applyAlignment="1">
      <alignment vertical="center" shrinkToFit="1"/>
    </xf>
    <xf numFmtId="0" fontId="3" fillId="0" borderId="1" xfId="0" applyNumberFormat="1" applyFont="1" applyFill="1" applyBorder="1" applyAlignment="1">
      <alignment vertical="center" shrinkToFit="1"/>
    </xf>
    <xf numFmtId="0" fontId="3" fillId="1" borderId="16" xfId="0" applyNumberFormat="1" applyFont="1" applyFill="1" applyBorder="1" applyAlignment="1">
      <alignment horizontal="center" vertical="center" shrinkToFit="1"/>
    </xf>
    <xf numFmtId="0" fontId="3" fillId="1" borderId="1" xfId="0" applyNumberFormat="1" applyFont="1" applyFill="1" applyBorder="1" applyAlignment="1">
      <alignment horizontal="center" vertical="center" shrinkToFit="1"/>
    </xf>
    <xf numFmtId="0" fontId="0" fillId="0" borderId="13" xfId="0" applyBorder="1" applyAlignment="1">
      <alignment vertical="center" shrinkToFit="1"/>
    </xf>
    <xf numFmtId="0" fontId="8" fillId="0" borderId="8" xfId="0" applyNumberFormat="1" applyFont="1" applyBorder="1" applyAlignment="1">
      <alignment horizontal="center" vertical="center" shrinkToFit="1"/>
    </xf>
    <xf numFmtId="0" fontId="6" fillId="0" borderId="3" xfId="0" applyFont="1" applyBorder="1" applyAlignment="1">
      <alignment vertical="center" shrinkToFit="1"/>
    </xf>
    <xf numFmtId="0" fontId="6" fillId="0" borderId="4" xfId="0" applyFont="1" applyBorder="1" applyAlignment="1">
      <alignment vertical="center" shrinkToFit="1"/>
    </xf>
    <xf numFmtId="0" fontId="8" fillId="0" borderId="7" xfId="0" applyNumberFormat="1" applyFont="1" applyBorder="1" applyAlignment="1">
      <alignment horizontal="center" vertical="center" shrinkToFit="1"/>
    </xf>
    <xf numFmtId="0" fontId="3" fillId="0" borderId="3" xfId="0" applyFont="1" applyBorder="1" applyAlignment="1">
      <alignment vertical="center" shrinkToFit="1"/>
    </xf>
    <xf numFmtId="0" fontId="3" fillId="0" borderId="11" xfId="0" applyNumberFormat="1" applyFont="1" applyFill="1" applyBorder="1" applyAlignment="1">
      <alignment vertical="center" shrinkToFit="1"/>
    </xf>
    <xf numFmtId="0" fontId="3" fillId="0" borderId="13" xfId="0" applyNumberFormat="1" applyFont="1" applyFill="1" applyBorder="1" applyAlignment="1">
      <alignment vertical="center" shrinkToFit="1"/>
    </xf>
    <xf numFmtId="0" fontId="6" fillId="0" borderId="5" xfId="0" applyFont="1" applyBorder="1" applyAlignment="1">
      <alignment vertical="center" shrinkToFit="1"/>
    </xf>
    <xf numFmtId="0" fontId="9" fillId="0" borderId="5" xfId="0" applyFont="1" applyBorder="1" applyAlignment="1">
      <alignment vertical="center" shrinkToFit="1"/>
    </xf>
    <xf numFmtId="0" fontId="8" fillId="0" borderId="11" xfId="0" applyNumberFormat="1" applyFont="1" applyBorder="1" applyAlignment="1">
      <alignment horizontal="center" vertical="center" shrinkToFit="1"/>
    </xf>
    <xf numFmtId="0" fontId="8" fillId="0" borderId="12" xfId="0" applyNumberFormat="1" applyFont="1" applyBorder="1" applyAlignment="1">
      <alignment horizontal="center" vertical="center" shrinkToFit="1"/>
    </xf>
    <xf numFmtId="0" fontId="8" fillId="0" borderId="16" xfId="0" applyNumberFormat="1" applyFont="1" applyBorder="1" applyAlignment="1">
      <alignment horizontal="center" vertical="center" shrinkToFit="1"/>
    </xf>
    <xf numFmtId="0" fontId="8" fillId="0" borderId="0" xfId="0" applyNumberFormat="1" applyFont="1" applyBorder="1" applyAlignment="1">
      <alignment horizontal="center" vertical="center" shrinkToFit="1"/>
    </xf>
    <xf numFmtId="0" fontId="6" fillId="0" borderId="8" xfId="0" applyFont="1" applyBorder="1" applyAlignment="1">
      <alignment vertical="center" shrinkToFit="1"/>
    </xf>
    <xf numFmtId="0" fontId="6" fillId="0" borderId="12" xfId="0" applyFont="1" applyBorder="1" applyAlignment="1">
      <alignment vertical="center" shrinkToFit="1"/>
    </xf>
    <xf numFmtId="0" fontId="6" fillId="1" borderId="16" xfId="0" applyNumberFormat="1" applyFont="1" applyFill="1" applyBorder="1" applyAlignment="1">
      <alignment horizontal="center" vertical="center" shrinkToFit="1"/>
    </xf>
    <xf numFmtId="0" fontId="6" fillId="1" borderId="1" xfId="0" applyNumberFormat="1" applyFont="1" applyFill="1" applyBorder="1" applyAlignment="1">
      <alignment horizontal="center" vertical="center" shrinkToFit="1"/>
    </xf>
    <xf numFmtId="0" fontId="0" fillId="0" borderId="0" xfId="0" applyFont="1" applyBorder="1" applyAlignment="1">
      <alignment vertical="center" shrinkToFit="1"/>
    </xf>
    <xf numFmtId="0" fontId="0" fillId="0" borderId="0" xfId="0" applyBorder="1" applyAlignment="1">
      <alignment horizontal="left" vertical="center" shrinkToFit="1"/>
    </xf>
    <xf numFmtId="0" fontId="3" fillId="0" borderId="16" xfId="0" applyNumberFormat="1" applyFont="1" applyBorder="1" applyAlignment="1">
      <alignment vertical="center" shrinkToFit="1"/>
    </xf>
    <xf numFmtId="0" fontId="3" fillId="0" borderId="9" xfId="0" applyNumberFormat="1" applyFont="1" applyBorder="1" applyAlignment="1">
      <alignment vertical="center" shrinkToFit="1"/>
    </xf>
    <xf numFmtId="0" fontId="3" fillId="1" borderId="16" xfId="0" applyNumberFormat="1" applyFont="1" applyFill="1" applyBorder="1" applyAlignment="1">
      <alignment vertical="center" shrinkToFit="1"/>
    </xf>
    <xf numFmtId="0" fontId="3" fillId="1" borderId="1" xfId="0" applyNumberFormat="1" applyFont="1" applyFill="1" applyBorder="1" applyAlignment="1">
      <alignment vertical="center" shrinkToFit="1"/>
    </xf>
    <xf numFmtId="0" fontId="3" fillId="0" borderId="2" xfId="0" applyNumberFormat="1" applyFont="1" applyBorder="1" applyAlignment="1">
      <alignment vertical="center" shrinkToFit="1"/>
    </xf>
    <xf numFmtId="0" fontId="3" fillId="0" borderId="1" xfId="0" applyNumberFormat="1" applyFont="1" applyBorder="1" applyAlignment="1">
      <alignment vertical="center" shrinkToFit="1"/>
    </xf>
    <xf numFmtId="0" fontId="3" fillId="3" borderId="16" xfId="0" applyNumberFormat="1" applyFont="1" applyFill="1" applyBorder="1" applyAlignment="1">
      <alignment vertical="center" shrinkToFit="1"/>
    </xf>
    <xf numFmtId="0" fontId="3" fillId="3" borderId="1" xfId="0" applyNumberFormat="1" applyFont="1" applyFill="1" applyBorder="1" applyAlignment="1">
      <alignment vertical="center" shrinkToFit="1"/>
    </xf>
    <xf numFmtId="0" fontId="3" fillId="0" borderId="11" xfId="0" applyNumberFormat="1" applyFont="1" applyBorder="1" applyAlignment="1">
      <alignment vertical="center" shrinkToFit="1"/>
    </xf>
    <xf numFmtId="0" fontId="3" fillId="0" borderId="13" xfId="0" applyNumberFormat="1" applyFont="1" applyBorder="1" applyAlignment="1">
      <alignment vertical="center" shrinkToFit="1"/>
    </xf>
    <xf numFmtId="0" fontId="3" fillId="0" borderId="12" xfId="0" applyNumberFormat="1" applyFont="1" applyBorder="1" applyAlignment="1">
      <alignment vertical="center" shrinkToFit="1"/>
    </xf>
    <xf numFmtId="0" fontId="0" fillId="0" borderId="12" xfId="0" applyBorder="1" applyAlignment="1">
      <alignment vertical="center" shrinkToFit="1"/>
    </xf>
    <xf numFmtId="0" fontId="0" fillId="0" borderId="0" xfId="0" applyAlignment="1">
      <alignment vertical="center" shrinkToFit="1"/>
    </xf>
    <xf numFmtId="0" fontId="3" fillId="0" borderId="6" xfId="0" applyNumberFormat="1" applyFont="1" applyBorder="1" applyAlignment="1">
      <alignment vertical="center" shrinkToFit="1"/>
    </xf>
    <xf numFmtId="0" fontId="3" fillId="0" borderId="6" xfId="0" applyFont="1" applyBorder="1" applyAlignment="1">
      <alignment vertical="center" shrinkToFit="1"/>
    </xf>
    <xf numFmtId="0" fontId="6" fillId="0" borderId="7" xfId="0" applyNumberFormat="1" applyFont="1" applyBorder="1" applyAlignment="1">
      <alignment vertical="center" shrinkToFit="1"/>
    </xf>
    <xf numFmtId="0" fontId="3" fillId="0" borderId="5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left" vertical="center" shrinkToFit="1"/>
    </xf>
    <xf numFmtId="0" fontId="3" fillId="1" borderId="7" xfId="0" applyNumberFormat="1" applyFont="1" applyFill="1" applyBorder="1" applyAlignment="1">
      <alignment vertical="center" shrinkToFit="1"/>
    </xf>
    <xf numFmtId="0" fontId="3" fillId="1" borderId="9" xfId="0" applyNumberFormat="1" applyFont="1" applyFill="1" applyBorder="1" applyAlignment="1">
      <alignment vertical="center" shrinkToFit="1"/>
    </xf>
    <xf numFmtId="0" fontId="3" fillId="5" borderId="7" xfId="0" applyNumberFormat="1" applyFont="1" applyFill="1" applyBorder="1" applyAlignment="1">
      <alignment vertical="center" shrinkToFit="1"/>
    </xf>
    <xf numFmtId="0" fontId="3" fillId="5" borderId="9" xfId="0" applyNumberFormat="1" applyFont="1" applyFill="1" applyBorder="1" applyAlignment="1">
      <alignment vertical="center" shrinkToFit="1"/>
    </xf>
    <xf numFmtId="0" fontId="3" fillId="5" borderId="6" xfId="0" applyNumberFormat="1" applyFont="1" applyFill="1" applyBorder="1" applyAlignment="1">
      <alignment vertical="center" shrinkToFit="1"/>
    </xf>
    <xf numFmtId="1" fontId="3" fillId="4" borderId="5" xfId="0" applyNumberFormat="1" applyFont="1" applyFill="1" applyBorder="1" applyAlignment="1">
      <alignment vertical="center" shrinkToFit="1"/>
    </xf>
    <xf numFmtId="0" fontId="3" fillId="4" borderId="5" xfId="0" applyNumberFormat="1" applyFont="1" applyFill="1" applyBorder="1" applyAlignment="1">
      <alignment vertical="center" shrinkToFit="1"/>
    </xf>
    <xf numFmtId="0" fontId="3" fillId="1" borderId="11" xfId="0" applyNumberFormat="1" applyFont="1" applyFill="1" applyBorder="1" applyAlignment="1">
      <alignment vertical="center" shrinkToFit="1"/>
    </xf>
    <xf numFmtId="0" fontId="3" fillId="1" borderId="13" xfId="0" applyNumberFormat="1" applyFont="1" applyFill="1" applyBorder="1" applyAlignment="1">
      <alignment vertical="center" shrinkToFit="1"/>
    </xf>
    <xf numFmtId="1" fontId="3" fillId="0" borderId="4" xfId="0" applyNumberFormat="1" applyFont="1" applyBorder="1" applyAlignment="1">
      <alignment vertical="center" shrinkToFit="1"/>
    </xf>
    <xf numFmtId="1" fontId="3" fillId="0" borderId="5" xfId="0" applyNumberFormat="1" applyFont="1" applyBorder="1" applyAlignment="1">
      <alignment vertical="center" shrinkToFit="1"/>
    </xf>
    <xf numFmtId="0" fontId="3" fillId="1" borderId="10" xfId="0" applyNumberFormat="1" applyFont="1" applyFill="1" applyBorder="1" applyAlignment="1">
      <alignment vertical="center" shrinkToFit="1"/>
    </xf>
    <xf numFmtId="0" fontId="3" fillId="1" borderId="0" xfId="0" applyNumberFormat="1" applyFont="1" applyFill="1" applyBorder="1" applyAlignment="1">
      <alignment vertical="center" shrinkToFit="1"/>
    </xf>
    <xf numFmtId="0" fontId="3" fillId="5" borderId="1" xfId="0" applyNumberFormat="1" applyFont="1" applyFill="1" applyBorder="1" applyAlignment="1">
      <alignment vertical="center" shrinkToFit="1"/>
    </xf>
    <xf numFmtId="0" fontId="3" fillId="5" borderId="10" xfId="0" applyNumberFormat="1" applyFont="1" applyFill="1" applyBorder="1" applyAlignment="1">
      <alignment vertical="center" shrinkToFit="1"/>
    </xf>
    <xf numFmtId="0" fontId="3" fillId="5" borderId="16" xfId="0" applyNumberFormat="1" applyFont="1" applyFill="1" applyBorder="1" applyAlignment="1">
      <alignment vertical="center" shrinkToFit="1"/>
    </xf>
    <xf numFmtId="0" fontId="3" fillId="0" borderId="10" xfId="0" applyNumberFormat="1" applyFont="1" applyFill="1" applyBorder="1" applyAlignment="1">
      <alignment vertical="center" shrinkToFit="1"/>
    </xf>
    <xf numFmtId="0" fontId="4" fillId="0" borderId="3" xfId="0" applyNumberFormat="1" applyFont="1" applyBorder="1" applyAlignment="1">
      <alignment vertical="center" shrinkToFit="1"/>
    </xf>
    <xf numFmtId="0" fontId="11" fillId="0" borderId="0" xfId="0" applyFont="1" applyBorder="1" applyAlignment="1">
      <alignment vertical="center" shrinkToFit="1"/>
    </xf>
    <xf numFmtId="0" fontId="3" fillId="5" borderId="0" xfId="0" applyNumberFormat="1" applyFont="1" applyFill="1" applyBorder="1" applyAlignment="1">
      <alignment vertical="center" shrinkToFit="1"/>
    </xf>
    <xf numFmtId="0" fontId="3" fillId="5" borderId="11" xfId="0" applyNumberFormat="1" applyFont="1" applyFill="1" applyBorder="1" applyAlignment="1">
      <alignment vertical="center" shrinkToFit="1"/>
    </xf>
    <xf numFmtId="0" fontId="3" fillId="5" borderId="13" xfId="0" applyNumberFormat="1" applyFont="1" applyFill="1" applyBorder="1" applyAlignment="1">
      <alignment vertical="center" shrinkToFi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vertical="center" shrinkToFit="1"/>
    </xf>
    <xf numFmtId="1" fontId="3" fillId="0" borderId="6" xfId="0" applyNumberFormat="1" applyFont="1" applyBorder="1" applyAlignment="1">
      <alignment vertical="center" shrinkToFit="1"/>
    </xf>
    <xf numFmtId="1" fontId="3" fillId="5" borderId="5" xfId="0" applyNumberFormat="1" applyFont="1" applyFill="1" applyBorder="1" applyAlignment="1">
      <alignment vertical="center" shrinkToFit="1"/>
    </xf>
    <xf numFmtId="0" fontId="3" fillId="5" borderId="5" xfId="0" applyNumberFormat="1" applyFont="1" applyFill="1" applyBorder="1" applyAlignment="1">
      <alignment vertical="center" shrinkToFit="1"/>
    </xf>
    <xf numFmtId="0" fontId="3" fillId="4" borderId="16" xfId="0" applyFont="1" applyFill="1" applyBorder="1" applyAlignment="1">
      <alignment vertical="center" shrinkToFit="1"/>
    </xf>
    <xf numFmtId="0" fontId="3" fillId="4" borderId="0" xfId="0" applyFont="1" applyFill="1" applyBorder="1" applyAlignment="1">
      <alignment vertical="center" shrinkToFit="1"/>
    </xf>
    <xf numFmtId="0" fontId="3" fillId="4" borderId="1" xfId="0" applyFont="1" applyFill="1" applyBorder="1" applyAlignment="1">
      <alignment vertical="center" shrinkToFit="1"/>
    </xf>
    <xf numFmtId="0" fontId="3" fillId="4" borderId="0" xfId="0" applyNumberFormat="1" applyFont="1" applyFill="1" applyBorder="1" applyAlignment="1">
      <alignment vertical="center" shrinkToFit="1"/>
    </xf>
    <xf numFmtId="0" fontId="3" fillId="0" borderId="0" xfId="0" applyFont="1" applyBorder="1" applyAlignment="1">
      <alignment horizontal="left" vertical="center" shrinkToFit="1"/>
    </xf>
    <xf numFmtId="0" fontId="0" fillId="0" borderId="0" xfId="0" applyFont="1" applyAlignment="1">
      <alignment horizontal="left" vertical="center" shrinkToFit="1"/>
    </xf>
    <xf numFmtId="0" fontId="5" fillId="5" borderId="0" xfId="0" applyFont="1" applyFill="1" applyAlignment="1">
      <alignment horizontal="left" vertical="center" shrinkToFit="1"/>
    </xf>
    <xf numFmtId="0" fontId="3" fillId="0" borderId="0" xfId="0" applyFont="1" applyBorder="1" applyAlignment="1">
      <alignment horizontal="center" vertical="center" shrinkToFit="1"/>
    </xf>
    <xf numFmtId="0" fontId="0" fillId="0" borderId="0" xfId="0" applyAlignment="1">
      <alignment horizontal="left" vertical="center" shrinkToFit="1"/>
    </xf>
    <xf numFmtId="0" fontId="3" fillId="6" borderId="16" xfId="0" applyNumberFormat="1" applyFont="1" applyFill="1" applyBorder="1" applyAlignment="1">
      <alignment vertical="center" shrinkToFit="1"/>
    </xf>
    <xf numFmtId="0" fontId="3" fillId="6" borderId="1" xfId="0" applyNumberFormat="1" applyFont="1" applyFill="1" applyBorder="1" applyAlignment="1">
      <alignment vertical="center" shrinkToFit="1"/>
    </xf>
    <xf numFmtId="0" fontId="4" fillId="0" borderId="4" xfId="0" applyFont="1" applyBorder="1" applyAlignment="1">
      <alignment vertical="center" shrinkToFit="1"/>
    </xf>
    <xf numFmtId="0" fontId="4" fillId="7" borderId="2" xfId="0" applyNumberFormat="1" applyFont="1" applyFill="1" applyBorder="1" applyAlignment="1">
      <alignment vertical="center" shrinkToFit="1"/>
    </xf>
    <xf numFmtId="0" fontId="4" fillId="7" borderId="4" xfId="0" applyNumberFormat="1" applyFont="1" applyFill="1" applyBorder="1" applyAlignment="1">
      <alignment vertical="center" shrinkToFit="1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5" xfId="0" applyFont="1" applyBorder="1" applyAlignment="1">
      <alignment vertical="center" shrinkToFit="1"/>
    </xf>
    <xf numFmtId="0" fontId="0" fillId="0" borderId="0" xfId="0" applyFont="1" applyFill="1" applyAlignment="1">
      <alignment horizontal="left" vertical="center" shrinkToFit="1"/>
    </xf>
    <xf numFmtId="0" fontId="0" fillId="0" borderId="0" xfId="0" applyFill="1" applyAlignment="1">
      <alignment horizontal="left" vertical="center" shrinkToFit="1"/>
    </xf>
    <xf numFmtId="0" fontId="5" fillId="0" borderId="0" xfId="0" applyFont="1" applyFill="1" applyAlignment="1">
      <alignment horizontal="left" vertical="center" shrinkToFit="1"/>
    </xf>
    <xf numFmtId="0" fontId="3" fillId="0" borderId="2" xfId="0" applyFont="1" applyBorder="1" applyAlignment="1">
      <alignment vertical="center" shrinkToFit="1"/>
    </xf>
    <xf numFmtId="0" fontId="3" fillId="0" borderId="4" xfId="0" applyFont="1" applyBorder="1" applyAlignment="1">
      <alignment vertical="center" shrinkToFit="1"/>
    </xf>
    <xf numFmtId="0" fontId="3" fillId="1" borderId="2" xfId="0" applyNumberFormat="1" applyFont="1" applyFill="1" applyBorder="1" applyAlignment="1">
      <alignment vertical="center" shrinkToFit="1"/>
    </xf>
    <xf numFmtId="0" fontId="3" fillId="1" borderId="4" xfId="0" applyNumberFormat="1" applyFont="1" applyFill="1" applyBorder="1" applyAlignment="1">
      <alignment vertical="center" shrinkToFit="1"/>
    </xf>
    <xf numFmtId="0" fontId="4" fillId="1" borderId="2" xfId="0" applyFont="1" applyFill="1" applyBorder="1" applyAlignment="1">
      <alignment vertical="center" shrinkToFit="1"/>
    </xf>
    <xf numFmtId="0" fontId="4" fillId="1" borderId="3" xfId="0" applyFont="1" applyFill="1" applyBorder="1" applyAlignment="1">
      <alignment vertical="center" shrinkToFit="1"/>
    </xf>
    <xf numFmtId="0" fontId="4" fillId="1" borderId="4" xfId="0" applyFont="1" applyFill="1" applyBorder="1" applyAlignment="1">
      <alignment vertical="center" shrinkToFit="1"/>
    </xf>
    <xf numFmtId="0" fontId="3" fillId="0" borderId="0" xfId="0" applyNumberFormat="1" applyFont="1" applyBorder="1" applyAlignment="1">
      <alignment horizontal="left" vertical="center" shrinkToFit="1"/>
    </xf>
    <xf numFmtId="0" fontId="3" fillId="4" borderId="2" xfId="0" applyNumberFormat="1" applyFont="1" applyFill="1" applyBorder="1" applyAlignment="1">
      <alignment vertical="center" shrinkToFit="1"/>
    </xf>
    <xf numFmtId="0" fontId="3" fillId="4" borderId="4" xfId="0" applyNumberFormat="1" applyFont="1" applyFill="1" applyBorder="1" applyAlignment="1">
      <alignment vertical="center" shrinkToFit="1"/>
    </xf>
    <xf numFmtId="0" fontId="3" fillId="0" borderId="7" xfId="0" applyFont="1" applyFill="1" applyBorder="1" applyAlignment="1">
      <alignment vertical="center" shrinkToFit="1"/>
    </xf>
    <xf numFmtId="0" fontId="3" fillId="0" borderId="8" xfId="0" applyFont="1" applyFill="1" applyBorder="1" applyAlignment="1">
      <alignment vertical="center" shrinkToFit="1"/>
    </xf>
    <xf numFmtId="0" fontId="3" fillId="0" borderId="9" xfId="0" applyFont="1" applyFill="1" applyBorder="1" applyAlignment="1">
      <alignment vertical="center" shrinkToFit="1"/>
    </xf>
    <xf numFmtId="0" fontId="3" fillId="3" borderId="2" xfId="0" applyNumberFormat="1" applyFont="1" applyFill="1" applyBorder="1" applyAlignment="1">
      <alignment vertical="center" shrinkToFit="1"/>
    </xf>
    <xf numFmtId="0" fontId="3" fillId="3" borderId="4" xfId="0" applyNumberFormat="1" applyFont="1" applyFill="1" applyBorder="1" applyAlignment="1">
      <alignment vertical="center" shrinkToFit="1"/>
    </xf>
    <xf numFmtId="0" fontId="3" fillId="8" borderId="2" xfId="0" applyNumberFormat="1" applyFont="1" applyFill="1" applyBorder="1" applyAlignment="1">
      <alignment horizontal="right" vertical="center" shrinkToFit="1"/>
    </xf>
    <xf numFmtId="0" fontId="3" fillId="8" borderId="3" xfId="0" applyNumberFormat="1" applyFont="1" applyFill="1" applyBorder="1" applyAlignment="1">
      <alignment horizontal="right" vertical="center" shrinkToFit="1"/>
    </xf>
    <xf numFmtId="0" fontId="3" fillId="8" borderId="4" xfId="0" applyNumberFormat="1" applyFont="1" applyFill="1" applyBorder="1" applyAlignment="1">
      <alignment horizontal="right" vertical="center" shrinkToFit="1"/>
    </xf>
    <xf numFmtId="0" fontId="3" fillId="5" borderId="2" xfId="0" applyNumberFormat="1" applyFont="1" applyFill="1" applyBorder="1" applyAlignment="1">
      <alignment horizontal="right" vertical="center" shrinkToFit="1"/>
    </xf>
    <xf numFmtId="0" fontId="3" fillId="5" borderId="3" xfId="0" applyNumberFormat="1" applyFont="1" applyFill="1" applyBorder="1" applyAlignment="1">
      <alignment horizontal="right" vertical="center" shrinkToFit="1"/>
    </xf>
    <xf numFmtId="0" fontId="3" fillId="5" borderId="4" xfId="0" applyNumberFormat="1" applyFont="1" applyFill="1" applyBorder="1" applyAlignment="1">
      <alignment horizontal="right" vertical="center" shrinkToFit="1"/>
    </xf>
    <xf numFmtId="0" fontId="3" fillId="7" borderId="2" xfId="0" applyNumberFormat="1" applyFont="1" applyFill="1" applyBorder="1" applyAlignment="1">
      <alignment horizontal="right" vertical="center" shrinkToFit="1"/>
    </xf>
    <xf numFmtId="0" fontId="3" fillId="7" borderId="3" xfId="0" applyNumberFormat="1" applyFont="1" applyFill="1" applyBorder="1" applyAlignment="1">
      <alignment horizontal="right" vertical="center" shrinkToFit="1"/>
    </xf>
    <xf numFmtId="0" fontId="3" fillId="7" borderId="4" xfId="0" applyNumberFormat="1" applyFont="1" applyFill="1" applyBorder="1" applyAlignment="1">
      <alignment horizontal="right" vertical="center" shrinkToFit="1"/>
    </xf>
    <xf numFmtId="0" fontId="3" fillId="7" borderId="2" xfId="0" applyNumberFormat="1" applyFont="1" applyFill="1" applyBorder="1" applyAlignment="1">
      <alignment horizontal="center" vertical="center" shrinkToFit="1"/>
    </xf>
    <xf numFmtId="0" fontId="3" fillId="7" borderId="3" xfId="0" applyNumberFormat="1" applyFont="1" applyFill="1" applyBorder="1" applyAlignment="1">
      <alignment horizontal="center" vertical="center" shrinkToFit="1"/>
    </xf>
    <xf numFmtId="0" fontId="3" fillId="7" borderId="4" xfId="0" applyNumberFormat="1" applyFont="1" applyFill="1" applyBorder="1" applyAlignment="1">
      <alignment horizontal="center" vertical="center" shrinkToFit="1"/>
    </xf>
    <xf numFmtId="0" fontId="3" fillId="4" borderId="12" xfId="0" applyFont="1" applyFill="1" applyBorder="1" applyAlignment="1">
      <alignment vertical="center" shrinkToFit="1"/>
    </xf>
    <xf numFmtId="0" fontId="0" fillId="4" borderId="12" xfId="0" applyFill="1" applyBorder="1" applyAlignment="1">
      <alignment vertical="center" shrinkToFit="1"/>
    </xf>
    <xf numFmtId="0" fontId="0" fillId="4" borderId="13" xfId="0" applyFill="1" applyBorder="1" applyAlignment="1">
      <alignment vertical="center" shrinkToFit="1"/>
    </xf>
    <xf numFmtId="0" fontId="4" fillId="0" borderId="5" xfId="0" applyFont="1" applyBorder="1" applyAlignment="1">
      <alignment horizontal="right" vertical="center" shrinkToFit="1"/>
    </xf>
    <xf numFmtId="0" fontId="11" fillId="0" borderId="16" xfId="0" applyFont="1" applyBorder="1" applyAlignment="1">
      <alignment vertical="center" shrinkToFit="1"/>
    </xf>
    <xf numFmtId="0" fontId="11" fillId="0" borderId="1" xfId="0" applyFont="1" applyBorder="1" applyAlignment="1">
      <alignment vertical="center" shrinkToFit="1"/>
    </xf>
    <xf numFmtId="0" fontId="4" fillId="1" borderId="7" xfId="0" applyFont="1" applyFill="1" applyBorder="1" applyAlignment="1">
      <alignment vertical="center" shrinkToFit="1"/>
    </xf>
    <xf numFmtId="0" fontId="4" fillId="1" borderId="8" xfId="0" applyFont="1" applyFill="1" applyBorder="1" applyAlignment="1">
      <alignment vertical="center" shrinkToFit="1"/>
    </xf>
    <xf numFmtId="0" fontId="4" fillId="1" borderId="9" xfId="0" applyFont="1" applyFill="1" applyBorder="1" applyAlignment="1">
      <alignment vertical="center" shrinkToFit="1"/>
    </xf>
    <xf numFmtId="0" fontId="11" fillId="0" borderId="7" xfId="0" applyFont="1" applyBorder="1" applyAlignment="1">
      <alignment vertical="center" shrinkToFit="1"/>
    </xf>
    <xf numFmtId="0" fontId="11" fillId="0" borderId="8" xfId="0" applyFont="1" applyBorder="1" applyAlignment="1">
      <alignment vertical="center" shrinkToFit="1"/>
    </xf>
    <xf numFmtId="0" fontId="11" fillId="0" borderId="9" xfId="0" applyFont="1" applyBorder="1" applyAlignment="1">
      <alignment vertical="center" shrinkToFit="1"/>
    </xf>
    <xf numFmtId="0" fontId="4" fillId="1" borderId="16" xfId="0" applyFont="1" applyFill="1" applyBorder="1" applyAlignment="1">
      <alignment vertical="center" shrinkToFit="1"/>
    </xf>
    <xf numFmtId="0" fontId="4" fillId="1" borderId="0" xfId="0" applyFont="1" applyFill="1" applyBorder="1" applyAlignment="1">
      <alignment vertical="center" shrinkToFit="1"/>
    </xf>
    <xf numFmtId="0" fontId="4" fillId="1" borderId="1" xfId="0" applyFont="1" applyFill="1" applyBorder="1" applyAlignment="1">
      <alignment vertical="center" shrinkToFit="1"/>
    </xf>
    <xf numFmtId="0" fontId="4" fillId="0" borderId="8" xfId="0" applyNumberFormat="1" applyFont="1" applyBorder="1" applyAlignment="1">
      <alignment vertical="center" shrinkToFi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textRotation="90" shrinkToFit="1"/>
    </xf>
    <xf numFmtId="0" fontId="12" fillId="0" borderId="19" xfId="0" applyFont="1" applyBorder="1" applyAlignment="1">
      <alignment horizontal="center" vertical="center" textRotation="90" shrinkToFit="1"/>
    </xf>
    <xf numFmtId="0" fontId="12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shrinkToFit="1"/>
    </xf>
    <xf numFmtId="0" fontId="12" fillId="0" borderId="3" xfId="0" applyFont="1" applyBorder="1" applyAlignment="1">
      <alignment horizontal="center" vertical="center" shrinkToFit="1"/>
    </xf>
    <xf numFmtId="0" fontId="12" fillId="0" borderId="7" xfId="0" applyFont="1" applyBorder="1" applyAlignment="1">
      <alignment horizontal="center" vertical="center" shrinkToFit="1"/>
    </xf>
    <xf numFmtId="0" fontId="12" fillId="0" borderId="8" xfId="0" applyFont="1" applyBorder="1" applyAlignment="1">
      <alignment horizontal="center" vertical="center" shrinkToFit="1"/>
    </xf>
    <xf numFmtId="0" fontId="12" fillId="0" borderId="11" xfId="0" applyFont="1" applyBorder="1" applyAlignment="1">
      <alignment horizontal="center" vertical="center" shrinkToFit="1"/>
    </xf>
    <xf numFmtId="0" fontId="12" fillId="0" borderId="12" xfId="0" applyFont="1" applyBorder="1" applyAlignment="1">
      <alignment horizontal="center" vertical="center" shrinkToFit="1"/>
    </xf>
    <xf numFmtId="0" fontId="0" fillId="0" borderId="12" xfId="0" applyBorder="1" applyAlignment="1">
      <alignment horizontal="center" vertical="center" shrinkToFit="1"/>
    </xf>
    <xf numFmtId="0" fontId="0" fillId="0" borderId="13" xfId="0" applyBorder="1" applyAlignment="1">
      <alignment horizontal="center" vertical="center" shrinkToFit="1"/>
    </xf>
    <xf numFmtId="0" fontId="3" fillId="0" borderId="2" xfId="0" applyFont="1" applyFill="1" applyBorder="1" applyAlignment="1">
      <alignment vertical="center" shrinkToFit="1"/>
    </xf>
    <xf numFmtId="0" fontId="3" fillId="0" borderId="2" xfId="0" applyNumberFormat="1" applyFont="1" applyFill="1" applyBorder="1" applyAlignment="1">
      <alignment vertical="center" shrinkToFit="1"/>
    </xf>
    <xf numFmtId="0" fontId="3" fillId="0" borderId="4" xfId="0" applyNumberFormat="1" applyFont="1" applyFill="1" applyBorder="1" applyAlignment="1">
      <alignment vertical="center" shrinkToFit="1"/>
    </xf>
    <xf numFmtId="0" fontId="10" fillId="0" borderId="2" xfId="0" applyFont="1" applyBorder="1" applyAlignment="1">
      <alignment horizontal="center" vertical="center" shrinkToFit="1"/>
    </xf>
    <xf numFmtId="0" fontId="10" fillId="0" borderId="3" xfId="0" applyFont="1" applyBorder="1" applyAlignment="1">
      <alignment horizontal="center" vertical="center" shrinkToFit="1"/>
    </xf>
    <xf numFmtId="0" fontId="10" fillId="4" borderId="2" xfId="0" applyFont="1" applyFill="1" applyBorder="1" applyAlignment="1">
      <alignment horizontal="center" vertical="center" shrinkToFit="1"/>
    </xf>
    <xf numFmtId="0" fontId="0" fillId="4" borderId="3" xfId="0" applyFill="1" applyBorder="1" applyAlignment="1">
      <alignment horizontal="center" vertical="center" shrinkToFit="1"/>
    </xf>
    <xf numFmtId="0" fontId="0" fillId="4" borderId="4" xfId="0" applyFill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0" fillId="0" borderId="11" xfId="0" applyFont="1" applyBorder="1" applyAlignment="1">
      <alignment horizontal="center" vertical="center" shrinkToFit="1"/>
    </xf>
    <xf numFmtId="0" fontId="10" fillId="0" borderId="12" xfId="0" applyFont="1" applyBorder="1" applyAlignment="1">
      <alignment horizontal="center" vertical="center" shrinkToFit="1"/>
    </xf>
    <xf numFmtId="0" fontId="10" fillId="4" borderId="7" xfId="0" applyFont="1" applyFill="1" applyBorder="1" applyAlignment="1">
      <alignment horizontal="center" vertical="center" shrinkToFit="1"/>
    </xf>
    <xf numFmtId="0" fontId="0" fillId="4" borderId="8" xfId="0" applyFill="1" applyBorder="1" applyAlignment="1">
      <alignment horizontal="center" vertical="center" shrinkToFit="1"/>
    </xf>
    <xf numFmtId="0" fontId="0" fillId="4" borderId="9" xfId="0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center" vertical="center" shrinkToFit="1"/>
    </xf>
    <xf numFmtId="0" fontId="0" fillId="4" borderId="12" xfId="0" applyFill="1" applyBorder="1" applyAlignment="1">
      <alignment horizontal="center" vertical="center" shrinkToFit="1"/>
    </xf>
    <xf numFmtId="0" fontId="0" fillId="4" borderId="13" xfId="0" applyFill="1" applyBorder="1" applyAlignment="1">
      <alignment horizontal="center" vertical="center" shrinkToFi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vertical="center" shrinkToFit="1"/>
    </xf>
    <xf numFmtId="1" fontId="3" fillId="0" borderId="4" xfId="0" applyNumberFormat="1" applyFont="1" applyFill="1" applyBorder="1" applyAlignment="1">
      <alignment vertical="center" shrinkToFit="1"/>
    </xf>
    <xf numFmtId="1" fontId="4" fillId="0" borderId="2" xfId="0" applyNumberFormat="1" applyFont="1" applyBorder="1" applyAlignment="1">
      <alignment vertical="center" shrinkToFit="1"/>
    </xf>
    <xf numFmtId="1" fontId="4" fillId="0" borderId="3" xfId="0" applyNumberFormat="1" applyFont="1" applyBorder="1" applyAlignment="1">
      <alignment vertical="center" shrinkToFit="1"/>
    </xf>
    <xf numFmtId="1" fontId="4" fillId="0" borderId="4" xfId="0" applyNumberFormat="1" applyFont="1" applyBorder="1" applyAlignment="1">
      <alignment vertical="center" shrinkToFit="1"/>
    </xf>
    <xf numFmtId="0" fontId="10" fillId="0" borderId="7" xfId="0" applyFont="1" applyBorder="1" applyAlignment="1">
      <alignment horizontal="center" vertical="center" textRotation="90" shrinkToFit="1"/>
    </xf>
    <xf numFmtId="0" fontId="10" fillId="0" borderId="16" xfId="0" applyFont="1" applyBorder="1" applyAlignment="1">
      <alignment horizontal="center" vertical="center" textRotation="90" shrinkToFit="1"/>
    </xf>
    <xf numFmtId="0" fontId="0" fillId="0" borderId="0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10" fillId="0" borderId="11" xfId="0" applyFont="1" applyBorder="1" applyAlignment="1">
      <alignment horizontal="center" vertical="center" textRotation="90" shrinkToFit="1"/>
    </xf>
    <xf numFmtId="0" fontId="10" fillId="0" borderId="3" xfId="0" applyFont="1" applyBorder="1" applyAlignment="1">
      <alignment vertical="center" shrinkToFit="1"/>
    </xf>
    <xf numFmtId="0" fontId="10" fillId="0" borderId="2" xfId="0" applyFont="1" applyBorder="1" applyAlignment="1">
      <alignment vertical="center" shrinkToFit="1"/>
    </xf>
    <xf numFmtId="0" fontId="3" fillId="0" borderId="3" xfId="0" applyNumberFormat="1" applyFont="1" applyFill="1" applyBorder="1" applyAlignment="1">
      <alignment vertical="center" shrinkToFit="1"/>
    </xf>
    <xf numFmtId="0" fontId="0" fillId="0" borderId="11" xfId="0" applyBorder="1" applyAlignment="1">
      <alignment horizontal="center" vertical="center" wrapText="1"/>
    </xf>
    <xf numFmtId="0" fontId="13" fillId="0" borderId="7" xfId="0" applyFont="1" applyBorder="1" applyAlignment="1">
      <alignment horizontal="right" vertical="center" wrapText="1"/>
    </xf>
    <xf numFmtId="0" fontId="10" fillId="0" borderId="11" xfId="0" applyFont="1" applyBorder="1" applyAlignment="1">
      <alignment horizontal="right" vertical="center" wrapText="1"/>
    </xf>
    <xf numFmtId="0" fontId="10" fillId="0" borderId="8" xfId="0" applyFont="1" applyBorder="1" applyAlignment="1">
      <alignment vertical="center" shrinkToFit="1"/>
    </xf>
    <xf numFmtId="0" fontId="10" fillId="0" borderId="12" xfId="0" applyFont="1" applyBorder="1" applyAlignment="1">
      <alignment vertical="center" shrinkToFit="1"/>
    </xf>
    <xf numFmtId="9" fontId="10" fillId="0" borderId="6" xfId="0" applyNumberFormat="1" applyFont="1" applyBorder="1" applyAlignment="1">
      <alignment vertical="center" textRotation="90" shrinkToFit="1"/>
    </xf>
    <xf numFmtId="9" fontId="10" fillId="0" borderId="19" xfId="0" applyNumberFormat="1" applyFont="1" applyBorder="1" applyAlignment="1">
      <alignment vertical="center" textRotation="90" shrinkToFit="1"/>
    </xf>
    <xf numFmtId="0" fontId="10" fillId="0" borderId="7" xfId="0" applyFont="1" applyBorder="1" applyAlignment="1">
      <alignment vertical="center" shrinkToFit="1"/>
    </xf>
    <xf numFmtId="0" fontId="10" fillId="0" borderId="11" xfId="0" applyFont="1" applyBorder="1" applyAlignment="1">
      <alignment vertical="center" shrinkToFit="1"/>
    </xf>
    <xf numFmtId="0" fontId="10" fillId="0" borderId="7" xfId="0" quotePrefix="1" applyFont="1" applyBorder="1" applyAlignment="1">
      <alignment horizontal="center" vertical="center" wrapText="1"/>
    </xf>
    <xf numFmtId="0" fontId="3" fillId="1" borderId="11" xfId="0" applyNumberFormat="1" applyFont="1" applyFill="1" applyBorder="1" applyAlignment="1">
      <alignment horizontal="center" vertical="center" shrinkToFit="1"/>
    </xf>
    <xf numFmtId="0" fontId="3" fillId="1" borderId="13" xfId="0" applyNumberFormat="1" applyFont="1" applyFill="1" applyBorder="1" applyAlignment="1">
      <alignment horizontal="center" vertical="center" shrinkToFit="1"/>
    </xf>
    <xf numFmtId="0" fontId="3" fillId="1" borderId="2" xfId="0" applyNumberFormat="1" applyFont="1" applyFill="1" applyBorder="1" applyAlignment="1">
      <alignment horizontal="center" vertical="center" shrinkToFit="1"/>
    </xf>
    <xf numFmtId="0" fontId="3" fillId="1" borderId="4" xfId="0" applyNumberFormat="1" applyFont="1" applyFill="1" applyBorder="1" applyAlignment="1">
      <alignment horizontal="center" vertical="center" shrinkToFit="1"/>
    </xf>
    <xf numFmtId="0" fontId="12" fillId="0" borderId="2" xfId="0" applyFont="1" applyBorder="1" applyAlignment="1">
      <alignment vertical="center" shrinkToFit="1"/>
    </xf>
    <xf numFmtId="0" fontId="12" fillId="0" borderId="2" xfId="0" applyFont="1" applyBorder="1" applyAlignment="1">
      <alignment horizontal="right" vertical="center" shrinkToFit="1"/>
    </xf>
    <xf numFmtId="0" fontId="12" fillId="0" borderId="3" xfId="0" applyFont="1" applyBorder="1" applyAlignment="1">
      <alignment horizontal="right" vertical="center" shrinkToFit="1"/>
    </xf>
    <xf numFmtId="0" fontId="0" fillId="0" borderId="3" xfId="0" applyBorder="1" applyAlignment="1">
      <alignment horizontal="right" vertical="center" shrinkToFit="1"/>
    </xf>
    <xf numFmtId="0" fontId="0" fillId="0" borderId="4" xfId="0" applyBorder="1" applyAlignment="1">
      <alignment horizontal="right" vertical="center" shrinkToFit="1"/>
    </xf>
    <xf numFmtId="0" fontId="12" fillId="0" borderId="3" xfId="0" applyFont="1" applyBorder="1" applyAlignment="1">
      <alignment vertical="center" shrinkToFit="1"/>
    </xf>
    <xf numFmtId="0" fontId="3" fillId="0" borderId="2" xfId="0" applyNumberFormat="1" applyFont="1" applyBorder="1" applyAlignment="1">
      <alignment horizontal="left" vertical="center" shrinkToFit="1"/>
    </xf>
    <xf numFmtId="0" fontId="3" fillId="0" borderId="3" xfId="0" applyNumberFormat="1" applyFont="1" applyBorder="1" applyAlignment="1">
      <alignment horizontal="left" vertical="center" shrinkToFit="1"/>
    </xf>
    <xf numFmtId="0" fontId="4" fillId="0" borderId="6" xfId="0" applyFont="1" applyFill="1" applyBorder="1" applyAlignment="1">
      <alignment vertical="center" shrinkToFit="1"/>
    </xf>
    <xf numFmtId="164" fontId="3" fillId="4" borderId="2" xfId="0" applyNumberFormat="1" applyFont="1" applyFill="1" applyBorder="1" applyAlignment="1">
      <alignment vertical="center" shrinkToFit="1"/>
    </xf>
    <xf numFmtId="164" fontId="3" fillId="4" borderId="4" xfId="0" applyNumberFormat="1" applyFont="1" applyFill="1" applyBorder="1" applyAlignment="1">
      <alignment vertical="center" shrinkToFit="1"/>
    </xf>
    <xf numFmtId="0" fontId="3" fillId="4" borderId="2" xfId="0" applyNumberFormat="1" applyFont="1" applyFill="1" applyBorder="1" applyAlignment="1">
      <alignment horizontal="center" vertical="center" shrinkToFit="1"/>
    </xf>
    <xf numFmtId="0" fontId="3" fillId="4" borderId="4" xfId="0" applyNumberFormat="1" applyFont="1" applyFill="1" applyBorder="1" applyAlignment="1">
      <alignment horizontal="center" vertical="center" shrinkToFit="1"/>
    </xf>
    <xf numFmtId="0" fontId="4" fillId="0" borderId="4" xfId="0" applyFont="1" applyFill="1" applyBorder="1" applyAlignment="1">
      <alignment vertical="center" shrinkToFit="1"/>
    </xf>
    <xf numFmtId="0" fontId="4" fillId="0" borderId="21" xfId="0" applyFont="1" applyBorder="1" applyAlignment="1">
      <alignment horizontal="center" vertical="center" shrinkToFit="1"/>
    </xf>
    <xf numFmtId="0" fontId="0" fillId="0" borderId="21" xfId="0" applyBorder="1" applyAlignment="1">
      <alignment horizontal="center" vertical="center" shrinkToFit="1"/>
    </xf>
    <xf numFmtId="0" fontId="3" fillId="0" borderId="19" xfId="0" applyFont="1" applyBorder="1" applyAlignment="1">
      <alignment vertical="center" shrinkToFit="1"/>
    </xf>
    <xf numFmtId="0" fontId="3" fillId="0" borderId="20" xfId="0" applyFont="1" applyBorder="1" applyAlignment="1">
      <alignment horizontal="center" vertical="center" shrinkToFit="1"/>
    </xf>
    <xf numFmtId="0" fontId="0" fillId="0" borderId="20" xfId="0" applyBorder="1" applyAlignment="1">
      <alignment horizontal="center" vertical="center" shrinkToFit="1"/>
    </xf>
    <xf numFmtId="0" fontId="3" fillId="2" borderId="0" xfId="0" applyNumberFormat="1" applyFont="1" applyFill="1" applyBorder="1" applyAlignment="1">
      <alignment vertical="center" shrinkToFit="1"/>
    </xf>
    <xf numFmtId="0" fontId="3" fillId="2" borderId="1" xfId="0" applyNumberFormat="1" applyFont="1" applyFill="1" applyBorder="1" applyAlignment="1">
      <alignment vertical="center" shrinkToFit="1"/>
    </xf>
    <xf numFmtId="0" fontId="4" fillId="0" borderId="11" xfId="0" applyFont="1" applyBorder="1" applyAlignment="1">
      <alignment vertical="center" shrinkToFit="1"/>
    </xf>
    <xf numFmtId="0" fontId="4" fillId="0" borderId="12" xfId="0" applyFont="1" applyBorder="1" applyAlignment="1">
      <alignment vertical="center" shrinkToFit="1"/>
    </xf>
    <xf numFmtId="0" fontId="4" fillId="0" borderId="13" xfId="0" applyFont="1" applyBorder="1" applyAlignment="1">
      <alignment vertical="center" shrinkToFit="1"/>
    </xf>
    <xf numFmtId="0" fontId="4" fillId="0" borderId="2" xfId="0" applyNumberFormat="1" applyFont="1" applyBorder="1" applyAlignment="1">
      <alignment vertical="center" shrinkToFit="1"/>
    </xf>
    <xf numFmtId="0" fontId="4" fillId="0" borderId="4" xfId="0" applyNumberFormat="1" applyFont="1" applyBorder="1" applyAlignment="1">
      <alignment vertical="center" shrinkToFit="1"/>
    </xf>
    <xf numFmtId="0" fontId="4" fillId="0" borderId="3" xfId="0" applyFont="1" applyBorder="1" applyAlignment="1">
      <alignment horizontal="center" vertical="center" shrinkToFit="1"/>
    </xf>
    <xf numFmtId="0" fontId="3" fillId="4" borderId="7" xfId="0" applyNumberFormat="1" applyFont="1" applyFill="1" applyBorder="1" applyAlignment="1">
      <alignment vertical="center" shrinkToFit="1"/>
    </xf>
    <xf numFmtId="0" fontId="3" fillId="4" borderId="9" xfId="0" applyNumberFormat="1" applyFont="1" applyFill="1" applyBorder="1" applyAlignment="1">
      <alignment vertical="center" shrinkToFit="1"/>
    </xf>
    <xf numFmtId="0" fontId="3" fillId="4" borderId="11" xfId="0" applyNumberFormat="1" applyFont="1" applyFill="1" applyBorder="1" applyAlignment="1">
      <alignment vertical="center" shrinkToFit="1"/>
    </xf>
    <xf numFmtId="0" fontId="3" fillId="4" borderId="13" xfId="0" applyNumberFormat="1" applyFont="1" applyFill="1" applyBorder="1" applyAlignment="1">
      <alignment vertical="center" shrinkToFit="1"/>
    </xf>
    <xf numFmtId="166" fontId="4" fillId="9" borderId="3" xfId="0" applyNumberFormat="1" applyFont="1" applyFill="1" applyBorder="1" applyAlignment="1">
      <alignment horizontal="center" vertical="center" shrinkToFit="1"/>
    </xf>
    <xf numFmtId="166" fontId="0" fillId="9" borderId="3" xfId="0" applyNumberFormat="1" applyFill="1" applyBorder="1" applyAlignment="1">
      <alignment horizontal="center" vertical="center" shrinkToFit="1"/>
    </xf>
    <xf numFmtId="0" fontId="4" fillId="0" borderId="2" xfId="0" applyNumberFormat="1" applyFont="1" applyFill="1" applyBorder="1" applyAlignment="1">
      <alignment vertical="center" shrinkToFit="1"/>
    </xf>
    <xf numFmtId="0" fontId="4" fillId="0" borderId="4" xfId="0" applyNumberFormat="1" applyFont="1" applyFill="1" applyBorder="1" applyAlignment="1">
      <alignment vertical="center" shrinkToFit="1"/>
    </xf>
    <xf numFmtId="0" fontId="3" fillId="0" borderId="2" xfId="0" applyNumberFormat="1" applyFont="1" applyFill="1" applyBorder="1" applyAlignment="1">
      <alignment horizontal="right" vertical="center" shrinkToFit="1"/>
    </xf>
    <xf numFmtId="0" fontId="3" fillId="0" borderId="4" xfId="0" applyNumberFormat="1" applyFont="1" applyFill="1" applyBorder="1" applyAlignment="1">
      <alignment horizontal="right" vertical="center" shrinkToFit="1"/>
    </xf>
    <xf numFmtId="0" fontId="3" fillId="0" borderId="3" xfId="0" applyFont="1" applyFill="1" applyBorder="1" applyAlignment="1">
      <alignment vertical="center" shrinkToFit="1"/>
    </xf>
    <xf numFmtId="0" fontId="3" fillId="0" borderId="4" xfId="0" applyFont="1" applyFill="1" applyBorder="1" applyAlignment="1">
      <alignment vertical="center" shrinkToFit="1"/>
    </xf>
    <xf numFmtId="0" fontId="4" fillId="0" borderId="2" xfId="0" applyNumberFormat="1" applyFont="1" applyFill="1" applyBorder="1" applyAlignment="1">
      <alignment horizontal="right" vertical="center" shrinkToFit="1"/>
    </xf>
    <xf numFmtId="0" fontId="4" fillId="0" borderId="4" xfId="0" applyNumberFormat="1" applyFont="1" applyFill="1" applyBorder="1" applyAlignment="1">
      <alignment horizontal="right" vertical="center" shrinkToFit="1"/>
    </xf>
    <xf numFmtId="1" fontId="4" fillId="0" borderId="2" xfId="0" applyNumberFormat="1" applyFont="1" applyFill="1" applyBorder="1" applyAlignment="1">
      <alignment vertical="center" shrinkToFit="1"/>
    </xf>
    <xf numFmtId="1" fontId="4" fillId="0" borderId="3" xfId="0" applyNumberFormat="1" applyFont="1" applyFill="1" applyBorder="1" applyAlignment="1">
      <alignment vertical="center" shrinkToFit="1"/>
    </xf>
    <xf numFmtId="1" fontId="4" fillId="0" borderId="4" xfId="0" applyNumberFormat="1" applyFont="1" applyFill="1" applyBorder="1" applyAlignment="1">
      <alignment vertical="center" shrinkToFit="1"/>
    </xf>
    <xf numFmtId="0" fontId="4" fillId="0" borderId="2" xfId="0" applyNumberFormat="1" applyFont="1" applyFill="1" applyBorder="1" applyAlignment="1">
      <alignment horizontal="center" vertical="center" shrinkToFit="1"/>
    </xf>
    <xf numFmtId="0" fontId="4" fillId="0" borderId="4" xfId="0" applyNumberFormat="1" applyFont="1" applyFill="1" applyBorder="1" applyAlignment="1">
      <alignment horizontal="center" vertical="center" shrinkToFit="1"/>
    </xf>
    <xf numFmtId="0" fontId="4" fillId="0" borderId="2" xfId="0" quotePrefix="1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91"/>
  <sheetViews>
    <sheetView tabSelected="1" topLeftCell="AF36" workbookViewId="0">
      <selection activeCell="BQ46" sqref="BQ46:BS46"/>
    </sheetView>
  </sheetViews>
  <sheetFormatPr defaultRowHeight="15"/>
  <cols>
    <col min="1" max="1" width="2.85546875" customWidth="1"/>
    <col min="2" max="2" width="3.28515625" customWidth="1"/>
    <col min="3" max="3" width="2.7109375" customWidth="1"/>
    <col min="4" max="4" width="3.7109375" customWidth="1"/>
    <col min="5" max="5" width="5.5703125" customWidth="1"/>
    <col min="6" max="6" width="9.140625" hidden="1" customWidth="1"/>
    <col min="7" max="7" width="4.5703125" customWidth="1"/>
    <col min="8" max="8" width="4.42578125" customWidth="1"/>
    <col min="9" max="9" width="3.85546875" customWidth="1"/>
    <col min="10" max="10" width="5" customWidth="1"/>
    <col min="11" max="11" width="5.140625" customWidth="1"/>
    <col min="12" max="12" width="4" customWidth="1"/>
    <col min="13" max="13" width="4.85546875" customWidth="1"/>
    <col min="14" max="15" width="5" customWidth="1"/>
    <col min="16" max="16" width="4.5703125" customWidth="1"/>
    <col min="17" max="17" width="4.42578125" customWidth="1"/>
    <col min="18" max="18" width="4.140625" customWidth="1"/>
    <col min="19" max="19" width="4.5703125" customWidth="1"/>
    <col min="20" max="20" width="3.7109375" customWidth="1"/>
    <col min="21" max="21" width="3.5703125" customWidth="1"/>
    <col min="22" max="22" width="5.28515625" customWidth="1"/>
    <col min="23" max="23" width="4" customWidth="1"/>
    <col min="24" max="24" width="4.28515625" customWidth="1"/>
    <col min="25" max="25" width="6" bestFit="1" customWidth="1"/>
    <col min="26" max="26" width="6.140625" customWidth="1"/>
    <col min="27" max="27" width="2.5703125" customWidth="1"/>
    <col min="28" max="28" width="4.7109375" customWidth="1"/>
    <col min="29" max="29" width="3.5703125" customWidth="1"/>
    <col min="30" max="30" width="4" customWidth="1"/>
    <col min="31" max="32" width="4.28515625" customWidth="1"/>
    <col min="33" max="33" width="3.28515625" customWidth="1"/>
    <col min="34" max="34" width="4.42578125" customWidth="1"/>
    <col min="35" max="35" width="4.140625" customWidth="1"/>
    <col min="36" max="36" width="3.7109375" customWidth="1"/>
    <col min="37" max="37" width="3.42578125" customWidth="1"/>
    <col min="38" max="39" width="3.5703125" customWidth="1"/>
    <col min="40" max="40" width="4" customWidth="1"/>
    <col min="41" max="42" width="3.42578125" customWidth="1"/>
    <col min="43" max="43" width="3" customWidth="1"/>
    <col min="44" max="44" width="2.5703125" customWidth="1"/>
    <col min="45" max="45" width="3.42578125" customWidth="1"/>
    <col min="46" max="46" width="3.140625" customWidth="1"/>
    <col min="47" max="49" width="3.42578125" customWidth="1"/>
    <col min="50" max="50" width="3.7109375" customWidth="1"/>
    <col min="51" max="51" width="3" customWidth="1"/>
    <col min="52" max="52" width="3.5703125" customWidth="1"/>
    <col min="53" max="53" width="3.42578125" customWidth="1"/>
    <col min="54" max="54" width="4.140625" customWidth="1"/>
    <col min="55" max="56" width="3.5703125" customWidth="1"/>
    <col min="57" max="58" width="4.28515625" customWidth="1"/>
    <col min="59" max="59" width="2.5703125" customWidth="1"/>
    <col min="60" max="60" width="3.7109375" customWidth="1"/>
    <col min="61" max="61" width="2.7109375" customWidth="1"/>
    <col min="62" max="63" width="4.42578125" customWidth="1"/>
    <col min="64" max="64" width="5.42578125" customWidth="1"/>
    <col min="65" max="65" width="5" customWidth="1"/>
    <col min="66" max="66" width="4.7109375" customWidth="1"/>
    <col min="67" max="67" width="3.28515625" customWidth="1"/>
    <col min="68" max="68" width="3.140625" customWidth="1"/>
    <col min="69" max="69" width="4" customWidth="1"/>
    <col min="70" max="71" width="3.5703125" customWidth="1"/>
  </cols>
  <sheetData>
    <row r="1" spans="1:72">
      <c r="A1" s="1"/>
      <c r="B1" s="2" t="str">
        <f>CONCATENATE("WORKSHEET FOR GROSS SALARY FOR THE FINANCIAL YEAR ",IF(AD2="","_____",AD2),AF2,IF(AH2="","_____",AH2)," (ASSESSMENT YEAR ",IF(AD3="","_____",AD3),AF3,IF(AH3="","_____",AH3),")")</f>
        <v>WORKSHEET FOR GROSS SALARY FOR THE FINANCIAL YEAR 2019-2020 (ASSESSMENT YEAR 2020-2021)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  <c r="AK1" s="1"/>
      <c r="AL1" s="5" t="str">
        <f>CONCATENATE("INCOME TAX CALCULATION FOR THE FINANCIAL YEAR ",IF(BN2="","_____",BN2),BP2,IF(BR2="","_____",BR2)," (ASSESSMENT YEAR ",IF(BN3="","_____",BN3),BP3,IF(BR3="","_____",BR3),")")</f>
        <v>INCOME TAX CALCULATION FOR THE FINANCIAL YEAR 2019-2020 (ASSESSMENT YEAR 2020-2021)</v>
      </c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7"/>
    </row>
    <row r="2" spans="1:72">
      <c r="A2" s="99" t="s">
        <v>0</v>
      </c>
      <c r="B2" s="99"/>
      <c r="C2" s="92"/>
      <c r="D2" s="114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6"/>
      <c r="P2" s="3"/>
      <c r="Q2" s="99" t="s">
        <v>1</v>
      </c>
      <c r="R2" s="99"/>
      <c r="S2" s="8" t="s">
        <v>2</v>
      </c>
      <c r="T2" s="3"/>
      <c r="U2" s="3"/>
      <c r="V2" s="104" t="s">
        <v>3</v>
      </c>
      <c r="W2" s="104"/>
      <c r="X2" s="105"/>
      <c r="Y2" s="106">
        <v>0.05</v>
      </c>
      <c r="Z2" s="107"/>
      <c r="AA2" s="3"/>
      <c r="AB2" s="91" t="s">
        <v>4</v>
      </c>
      <c r="AC2" s="92"/>
      <c r="AD2" s="108">
        <v>2019</v>
      </c>
      <c r="AE2" s="109"/>
      <c r="AF2" s="95" t="s">
        <v>5</v>
      </c>
      <c r="AG2" s="96"/>
      <c r="AH2" s="97">
        <f>IF(OR(AD2="",AD2=0),"",AD2+1)</f>
        <v>2020</v>
      </c>
      <c r="AI2" s="98"/>
      <c r="AJ2" s="9"/>
      <c r="AK2" s="99" t="s">
        <v>0</v>
      </c>
      <c r="AL2" s="99"/>
      <c r="AM2" s="92"/>
      <c r="AN2" s="110"/>
      <c r="AO2" s="111"/>
      <c r="AP2" s="111"/>
      <c r="AQ2" s="111"/>
      <c r="AR2" s="111"/>
      <c r="AS2" s="111"/>
      <c r="AT2" s="111"/>
      <c r="AU2" s="111"/>
      <c r="AV2" s="111"/>
      <c r="AW2" s="111"/>
      <c r="AX2" s="112"/>
      <c r="AY2" s="113"/>
      <c r="AZ2" s="3"/>
      <c r="BA2" s="99" t="s">
        <v>1</v>
      </c>
      <c r="BB2" s="99"/>
      <c r="BC2" s="10" t="str">
        <f>IF(S2="","",S2)</f>
        <v>N</v>
      </c>
      <c r="BD2" s="3"/>
      <c r="BE2" s="3"/>
      <c r="BF2" s="11"/>
      <c r="BG2" s="11"/>
      <c r="BH2" s="12"/>
      <c r="BI2" s="13"/>
      <c r="BJ2" s="12"/>
      <c r="BK2" s="3"/>
      <c r="BL2" s="91" t="s">
        <v>4</v>
      </c>
      <c r="BM2" s="92"/>
      <c r="BN2" s="93">
        <f>IF(AD2="","",AD2)</f>
        <v>2019</v>
      </c>
      <c r="BO2" s="94"/>
      <c r="BP2" s="95" t="str">
        <f>IF(AF2="","",AF2)</f>
        <v>-</v>
      </c>
      <c r="BQ2" s="96"/>
      <c r="BR2" s="97">
        <f>IF(AH2="","",AH2)</f>
        <v>2020</v>
      </c>
      <c r="BS2" s="98"/>
      <c r="BT2" s="7"/>
    </row>
    <row r="3" spans="1:72">
      <c r="A3" s="99" t="s">
        <v>6</v>
      </c>
      <c r="B3" s="99"/>
      <c r="C3" s="92"/>
      <c r="D3" s="100"/>
      <c r="E3" s="101"/>
      <c r="F3" s="101"/>
      <c r="G3" s="102"/>
      <c r="H3" s="102"/>
      <c r="I3" s="103"/>
      <c r="J3" s="3"/>
      <c r="K3" s="3"/>
      <c r="L3" s="3"/>
      <c r="M3" s="3"/>
      <c r="N3" s="3"/>
      <c r="O3" s="3"/>
      <c r="P3" s="3"/>
      <c r="Q3" s="99" t="s">
        <v>7</v>
      </c>
      <c r="R3" s="99"/>
      <c r="S3" s="14">
        <v>6</v>
      </c>
      <c r="T3" s="3"/>
      <c r="U3" s="3"/>
      <c r="V3" s="104" t="s">
        <v>8</v>
      </c>
      <c r="W3" s="104"/>
      <c r="X3" s="105"/>
      <c r="Y3" s="106">
        <v>7.0000000000000007E-2</v>
      </c>
      <c r="Z3" s="107"/>
      <c r="AA3" s="3"/>
      <c r="AB3" s="91" t="s">
        <v>9</v>
      </c>
      <c r="AC3" s="92"/>
      <c r="AD3" s="117">
        <f>IF(OR(AD2="",AD2=0),"",AD2+1)</f>
        <v>2020</v>
      </c>
      <c r="AE3" s="133"/>
      <c r="AF3" s="134" t="s">
        <v>5</v>
      </c>
      <c r="AG3" s="133"/>
      <c r="AH3" s="118">
        <f>IF(OR(AD3="",AD3=0),"",AD3+1)</f>
        <v>2021</v>
      </c>
      <c r="AI3" s="135"/>
      <c r="AJ3" s="9"/>
      <c r="AK3" s="99" t="s">
        <v>6</v>
      </c>
      <c r="AL3" s="99"/>
      <c r="AM3" s="92"/>
      <c r="AN3" s="136"/>
      <c r="AO3" s="137"/>
      <c r="AP3" s="137"/>
      <c r="AQ3" s="138"/>
      <c r="AR3" s="138"/>
      <c r="AS3" s="139"/>
      <c r="AT3" s="15"/>
      <c r="AU3" s="16"/>
      <c r="AV3" s="16"/>
      <c r="AW3" s="16"/>
      <c r="AX3" s="17"/>
      <c r="AY3" s="17"/>
      <c r="AZ3" s="3"/>
      <c r="BA3" s="99" t="s">
        <v>7</v>
      </c>
      <c r="BB3" s="99"/>
      <c r="BC3" s="10">
        <v>7</v>
      </c>
      <c r="BD3" s="3"/>
      <c r="BE3" s="3"/>
      <c r="BF3" s="11"/>
      <c r="BG3" s="11"/>
      <c r="BH3" s="12"/>
      <c r="BI3" s="13"/>
      <c r="BJ3" s="12"/>
      <c r="BK3" s="3"/>
      <c r="BL3" s="91" t="s">
        <v>9</v>
      </c>
      <c r="BM3" s="92"/>
      <c r="BN3" s="93">
        <f>IF(AD3="","",AD3)</f>
        <v>2020</v>
      </c>
      <c r="BO3" s="94"/>
      <c r="BP3" s="95" t="str">
        <f>IF(AF3="","",AF3)</f>
        <v>-</v>
      </c>
      <c r="BQ3" s="96"/>
      <c r="BR3" s="97">
        <f>IF(AH3="","",AH3)</f>
        <v>2021</v>
      </c>
      <c r="BS3" s="98"/>
      <c r="BT3" s="7"/>
    </row>
    <row r="4" spans="1:72">
      <c r="A4" s="99" t="s">
        <v>10</v>
      </c>
      <c r="B4" s="99"/>
      <c r="C4" s="92"/>
      <c r="D4" s="123"/>
      <c r="E4" s="124"/>
      <c r="F4" s="124"/>
      <c r="G4" s="124"/>
      <c r="H4" s="124"/>
      <c r="I4" s="124"/>
      <c r="J4" s="124"/>
      <c r="K4" s="124"/>
      <c r="L4" s="124"/>
      <c r="M4" s="124"/>
      <c r="N4" s="125"/>
      <c r="O4" s="126"/>
      <c r="P4" s="3"/>
      <c r="Q4" s="99" t="s">
        <v>11</v>
      </c>
      <c r="R4" s="99"/>
      <c r="S4" s="132">
        <v>8291</v>
      </c>
      <c r="T4" s="121"/>
      <c r="U4" s="122"/>
      <c r="V4" s="104" t="s">
        <v>12</v>
      </c>
      <c r="W4" s="104"/>
      <c r="X4" s="105"/>
      <c r="Y4" s="106">
        <v>0.09</v>
      </c>
      <c r="Z4" s="107"/>
      <c r="AA4" s="3"/>
      <c r="AB4" s="117" t="s">
        <v>13</v>
      </c>
      <c r="AC4" s="118"/>
      <c r="AD4" s="118"/>
      <c r="AE4" s="118"/>
      <c r="AF4" s="118"/>
      <c r="AG4" s="118"/>
      <c r="AH4" s="118"/>
      <c r="AI4" s="119"/>
      <c r="AJ4" s="18"/>
      <c r="AK4" s="99" t="s">
        <v>10</v>
      </c>
      <c r="AL4" s="99"/>
      <c r="AM4" s="92"/>
      <c r="AN4" s="110"/>
      <c r="AO4" s="111"/>
      <c r="AP4" s="111"/>
      <c r="AQ4" s="111"/>
      <c r="AR4" s="111"/>
      <c r="AS4" s="111"/>
      <c r="AT4" s="111"/>
      <c r="AU4" s="111"/>
      <c r="AV4" s="111"/>
      <c r="AW4" s="111"/>
      <c r="AX4" s="112"/>
      <c r="AY4" s="113"/>
      <c r="AZ4" s="3"/>
      <c r="BA4" s="99" t="s">
        <v>11</v>
      </c>
      <c r="BB4" s="99"/>
      <c r="BC4" s="120">
        <v>0</v>
      </c>
      <c r="BD4" s="121"/>
      <c r="BE4" s="122"/>
      <c r="BF4" s="11"/>
      <c r="BG4" s="11"/>
      <c r="BH4" s="12"/>
      <c r="BI4" s="13"/>
      <c r="BJ4" s="12"/>
      <c r="BK4" s="3"/>
      <c r="BL4" s="3"/>
      <c r="BM4" s="3"/>
      <c r="BN4" s="3"/>
      <c r="BO4" s="3"/>
      <c r="BP4" s="3"/>
      <c r="BQ4" s="3"/>
      <c r="BR4" s="3"/>
      <c r="BS4" s="3"/>
      <c r="BT4" s="19"/>
    </row>
    <row r="5" spans="1:72">
      <c r="A5" s="99" t="s">
        <v>14</v>
      </c>
      <c r="B5" s="99"/>
      <c r="C5" s="92"/>
      <c r="D5" s="123"/>
      <c r="E5" s="124"/>
      <c r="F5" s="124"/>
      <c r="G5" s="124"/>
      <c r="H5" s="124"/>
      <c r="I5" s="124"/>
      <c r="J5" s="124"/>
      <c r="K5" s="124"/>
      <c r="L5" s="124"/>
      <c r="M5" s="124"/>
      <c r="N5" s="125"/>
      <c r="O5" s="126"/>
      <c r="P5" s="3"/>
      <c r="Q5" s="99" t="s">
        <v>15</v>
      </c>
      <c r="R5" s="99"/>
      <c r="S5" s="20" t="s">
        <v>16</v>
      </c>
      <c r="T5" s="127" t="s">
        <v>17</v>
      </c>
      <c r="U5" s="128"/>
      <c r="V5" s="128"/>
      <c r="W5" s="128"/>
      <c r="X5" s="129"/>
      <c r="Y5" s="130" t="s">
        <v>203</v>
      </c>
      <c r="Z5" s="131"/>
      <c r="AA5" s="3"/>
      <c r="AB5" s="150" t="s">
        <v>18</v>
      </c>
      <c r="AC5" s="151"/>
      <c r="AD5" s="151"/>
      <c r="AE5" s="152"/>
      <c r="AF5" s="150" t="s">
        <v>19</v>
      </c>
      <c r="AG5" s="151"/>
      <c r="AH5" s="151"/>
      <c r="AI5" s="152"/>
      <c r="AJ5" s="18"/>
      <c r="AK5" s="99" t="s">
        <v>14</v>
      </c>
      <c r="AL5" s="99"/>
      <c r="AM5" s="92"/>
      <c r="AN5" s="110"/>
      <c r="AO5" s="111"/>
      <c r="AP5" s="111"/>
      <c r="AQ5" s="111"/>
      <c r="AR5" s="111"/>
      <c r="AS5" s="111"/>
      <c r="AT5" s="111"/>
      <c r="AU5" s="111"/>
      <c r="AV5" s="111"/>
      <c r="AW5" s="111"/>
      <c r="AX5" s="112"/>
      <c r="AY5" s="11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19"/>
    </row>
    <row r="6" spans="1:72">
      <c r="A6" s="99" t="s">
        <v>20</v>
      </c>
      <c r="B6" s="99"/>
      <c r="C6" s="92"/>
      <c r="D6" s="123"/>
      <c r="E6" s="124"/>
      <c r="F6" s="124"/>
      <c r="G6" s="124"/>
      <c r="H6" s="124"/>
      <c r="I6" s="124"/>
      <c r="J6" s="124"/>
      <c r="K6" s="124"/>
      <c r="L6" s="124"/>
      <c r="M6" s="124"/>
      <c r="N6" s="125"/>
      <c r="O6" s="126"/>
      <c r="P6" s="3"/>
      <c r="Q6" s="99"/>
      <c r="R6" s="99"/>
      <c r="S6" s="21"/>
      <c r="T6" s="128"/>
      <c r="U6" s="128"/>
      <c r="V6" s="128"/>
      <c r="W6" s="128"/>
      <c r="X6" s="128"/>
      <c r="Y6" s="153"/>
      <c r="Z6" s="153"/>
      <c r="AA6" s="3"/>
      <c r="AB6" s="140">
        <v>43556</v>
      </c>
      <c r="AC6" s="141"/>
      <c r="AD6" s="141"/>
      <c r="AE6" s="142"/>
      <c r="AF6" s="140">
        <v>43921</v>
      </c>
      <c r="AG6" s="141"/>
      <c r="AH6" s="141"/>
      <c r="AI6" s="142"/>
      <c r="AJ6" s="22"/>
      <c r="AK6" s="23"/>
      <c r="AL6" s="24"/>
      <c r="AM6" s="24"/>
      <c r="AN6" s="24"/>
      <c r="AO6" s="25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3"/>
      <c r="BB6" s="3"/>
      <c r="BC6" s="3"/>
      <c r="BD6" s="3"/>
      <c r="BE6" s="3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9"/>
    </row>
    <row r="7" spans="1:72">
      <c r="A7" s="143"/>
      <c r="B7" s="144"/>
      <c r="C7" s="144"/>
      <c r="D7" s="118" t="s">
        <v>22</v>
      </c>
      <c r="E7" s="118"/>
      <c r="F7" s="119"/>
      <c r="G7" s="145">
        <f>DATE(AD2,4,1)</f>
        <v>43556</v>
      </c>
      <c r="H7" s="146"/>
      <c r="I7" s="146"/>
      <c r="J7" s="147"/>
      <c r="K7" s="148">
        <f>DATE(AD2,5,1)</f>
        <v>43586</v>
      </c>
      <c r="L7" s="148"/>
      <c r="M7" s="145">
        <f>DATE(AD2,6,1)</f>
        <v>43617</v>
      </c>
      <c r="N7" s="147"/>
      <c r="O7" s="148">
        <f>DATE(AD2,7,1)</f>
        <v>43647</v>
      </c>
      <c r="P7" s="148"/>
      <c r="Q7" s="148">
        <f>DATE(AD2,8,1)</f>
        <v>43678</v>
      </c>
      <c r="R7" s="148"/>
      <c r="S7" s="149">
        <v>42979</v>
      </c>
      <c r="T7" s="147"/>
      <c r="U7" s="145">
        <f>DATE(AD2,10,1)</f>
        <v>43739</v>
      </c>
      <c r="V7" s="147"/>
      <c r="W7" s="148">
        <f>DATE(AD2,11,1)</f>
        <v>43770</v>
      </c>
      <c r="X7" s="148"/>
      <c r="Y7" s="149">
        <f>DATE(AD2,12,1)</f>
        <v>43800</v>
      </c>
      <c r="Z7" s="166"/>
      <c r="AA7" s="145">
        <f>DATE(AH2,1,1)</f>
        <v>43831</v>
      </c>
      <c r="AB7" s="147"/>
      <c r="AC7" s="148">
        <f>DATE(AH2,2,1)</f>
        <v>43862</v>
      </c>
      <c r="AD7" s="148"/>
      <c r="AE7" s="145">
        <f>DATE(AH2,3,1)</f>
        <v>43891</v>
      </c>
      <c r="AF7" s="147"/>
      <c r="AG7" s="167" t="s">
        <v>23</v>
      </c>
      <c r="AH7" s="168"/>
      <c r="AI7" s="169"/>
      <c r="AJ7" s="26"/>
      <c r="AK7" s="23"/>
      <c r="AL7" s="27">
        <v>1</v>
      </c>
      <c r="AM7" s="154" t="s">
        <v>24</v>
      </c>
      <c r="AN7" s="155"/>
      <c r="AO7" s="155"/>
      <c r="AP7" s="155"/>
      <c r="AQ7" s="155"/>
      <c r="AR7" s="155"/>
      <c r="AS7" s="156"/>
      <c r="AT7" s="156"/>
      <c r="AU7" s="156"/>
      <c r="AV7" s="156"/>
      <c r="AW7" s="157"/>
      <c r="AX7" s="157"/>
      <c r="AY7" s="157"/>
      <c r="AZ7" s="157"/>
      <c r="BA7" s="157"/>
      <c r="BB7" s="157"/>
      <c r="BC7" s="157"/>
      <c r="BD7" s="157"/>
      <c r="BE7" s="157"/>
      <c r="BF7" s="157"/>
      <c r="BG7" s="157"/>
      <c r="BH7" s="157"/>
      <c r="BI7" s="158"/>
      <c r="BJ7" s="28"/>
      <c r="BK7" s="159"/>
      <c r="BL7" s="139"/>
      <c r="BM7" s="29"/>
      <c r="BN7" s="159"/>
      <c r="BO7" s="139"/>
      <c r="BP7" s="30" t="s">
        <v>25</v>
      </c>
      <c r="BQ7" s="159">
        <f>AG37</f>
        <v>657400</v>
      </c>
      <c r="BR7" s="159"/>
      <c r="BS7" s="139"/>
      <c r="BT7" s="7"/>
    </row>
    <row r="8" spans="1:72">
      <c r="A8" s="160" t="s">
        <v>26</v>
      </c>
      <c r="B8" s="161"/>
      <c r="C8" s="161"/>
      <c r="D8" s="162"/>
      <c r="E8" s="162"/>
      <c r="F8" s="163"/>
      <c r="G8" s="164">
        <f>DATE(AD2,3,1)</f>
        <v>43525</v>
      </c>
      <c r="H8" s="164"/>
      <c r="I8" s="164">
        <f>DATE(AD2,4,1)</f>
        <v>43556</v>
      </c>
      <c r="J8" s="164"/>
      <c r="K8" s="165"/>
      <c r="L8" s="165"/>
      <c r="M8" s="150"/>
      <c r="N8" s="152"/>
      <c r="O8" s="150"/>
      <c r="P8" s="152"/>
      <c r="Q8" s="150"/>
      <c r="R8" s="152"/>
      <c r="S8" s="150"/>
      <c r="T8" s="152"/>
      <c r="U8" s="150"/>
      <c r="V8" s="152"/>
      <c r="W8" s="150"/>
      <c r="X8" s="152"/>
      <c r="Y8" s="150"/>
      <c r="Z8" s="152"/>
      <c r="AA8" s="150"/>
      <c r="AB8" s="152"/>
      <c r="AC8" s="150"/>
      <c r="AD8" s="152"/>
      <c r="AE8" s="150"/>
      <c r="AF8" s="152"/>
      <c r="AG8" s="150"/>
      <c r="AH8" s="151"/>
      <c r="AI8" s="152"/>
      <c r="AJ8" s="18"/>
      <c r="AK8" s="23"/>
      <c r="AL8" s="31">
        <v>2</v>
      </c>
      <c r="AM8" s="154" t="s">
        <v>27</v>
      </c>
      <c r="AN8" s="155"/>
      <c r="AO8" s="155"/>
      <c r="AP8" s="155"/>
      <c r="AQ8" s="155"/>
      <c r="AR8" s="155"/>
      <c r="AS8" s="156"/>
      <c r="AT8" s="156"/>
      <c r="AU8" s="156"/>
      <c r="AV8" s="156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  <c r="BI8" s="158"/>
      <c r="BJ8" s="32"/>
      <c r="BK8" s="155"/>
      <c r="BL8" s="158"/>
      <c r="BM8" s="33"/>
      <c r="BN8" s="156"/>
      <c r="BO8" s="171"/>
      <c r="BP8" s="30" t="s">
        <v>25</v>
      </c>
      <c r="BQ8" s="155">
        <f>MIN(BH10:BI12)</f>
        <v>59132</v>
      </c>
      <c r="BR8" s="155"/>
      <c r="BS8" s="158"/>
      <c r="BT8" s="7"/>
    </row>
    <row r="9" spans="1:72">
      <c r="A9" s="170" t="s">
        <v>28</v>
      </c>
      <c r="B9" s="156"/>
      <c r="C9" s="156"/>
      <c r="D9" s="156"/>
      <c r="E9" s="156"/>
      <c r="F9" s="171"/>
      <c r="G9" s="180">
        <v>24100</v>
      </c>
      <c r="H9" s="181"/>
      <c r="I9" s="180">
        <v>24100</v>
      </c>
      <c r="J9" s="181"/>
      <c r="K9" s="180">
        <v>24100</v>
      </c>
      <c r="L9" s="181"/>
      <c r="M9" s="180">
        <v>24100</v>
      </c>
      <c r="N9" s="181"/>
      <c r="O9" s="180">
        <v>24100</v>
      </c>
      <c r="P9" s="181"/>
      <c r="Q9" s="180">
        <v>24100</v>
      </c>
      <c r="R9" s="181"/>
      <c r="S9" s="180">
        <v>24100</v>
      </c>
      <c r="T9" s="181"/>
      <c r="U9" s="180">
        <v>24100</v>
      </c>
      <c r="V9" s="181"/>
      <c r="W9" s="180">
        <v>24100</v>
      </c>
      <c r="X9" s="181"/>
      <c r="Y9" s="180">
        <v>24100</v>
      </c>
      <c r="Z9" s="181"/>
      <c r="AA9" s="182">
        <v>32600</v>
      </c>
      <c r="AB9" s="183"/>
      <c r="AC9" s="182">
        <f t="shared" ref="AC9:AC14" si="0">AA9</f>
        <v>32600</v>
      </c>
      <c r="AD9" s="183"/>
      <c r="AE9" s="184"/>
      <c r="AF9" s="185"/>
      <c r="AG9" s="170">
        <f>SUM(G9:AF9)</f>
        <v>306200</v>
      </c>
      <c r="AH9" s="156"/>
      <c r="AI9" s="171"/>
      <c r="AJ9" s="34"/>
      <c r="AK9" s="23"/>
      <c r="AL9" s="35"/>
      <c r="AM9" s="172" t="s">
        <v>29</v>
      </c>
      <c r="AN9" s="173"/>
      <c r="AO9" s="173"/>
      <c r="AP9" s="173"/>
      <c r="AQ9" s="173"/>
      <c r="AR9" s="173"/>
      <c r="AS9" s="174"/>
      <c r="AT9" s="174"/>
      <c r="AU9" s="174"/>
      <c r="AV9" s="174"/>
      <c r="AW9" s="175"/>
      <c r="AX9" s="175"/>
      <c r="AY9" s="175"/>
      <c r="AZ9" s="175"/>
      <c r="BA9" s="175"/>
      <c r="BB9" s="175"/>
      <c r="BC9" s="175"/>
      <c r="BD9" s="175"/>
      <c r="BE9" s="175"/>
      <c r="BF9" s="175"/>
      <c r="BG9" s="175"/>
      <c r="BH9" s="175"/>
      <c r="BI9" s="92"/>
      <c r="BJ9" s="36"/>
      <c r="BK9" s="176"/>
      <c r="BL9" s="92"/>
      <c r="BM9" s="37"/>
      <c r="BN9" s="176"/>
      <c r="BO9" s="92"/>
      <c r="BP9" s="38"/>
      <c r="BQ9" s="161"/>
      <c r="BR9" s="161"/>
      <c r="BS9" s="92"/>
      <c r="BT9" s="7"/>
    </row>
    <row r="10" spans="1:72">
      <c r="A10" s="160" t="s">
        <v>30</v>
      </c>
      <c r="B10" s="161"/>
      <c r="C10" s="161"/>
      <c r="D10" s="161"/>
      <c r="E10" s="161"/>
      <c r="F10" s="177"/>
      <c r="G10" s="178"/>
      <c r="H10" s="179"/>
      <c r="I10" s="178"/>
      <c r="J10" s="179"/>
      <c r="K10" s="178"/>
      <c r="L10" s="179"/>
      <c r="M10" s="178"/>
      <c r="N10" s="179"/>
      <c r="O10" s="178"/>
      <c r="P10" s="179"/>
      <c r="Q10" s="178"/>
      <c r="R10" s="179"/>
      <c r="S10" s="178"/>
      <c r="T10" s="179"/>
      <c r="U10" s="178"/>
      <c r="V10" s="179"/>
      <c r="W10" s="178"/>
      <c r="X10" s="179"/>
      <c r="Y10" s="178">
        <v>45000</v>
      </c>
      <c r="Z10" s="179"/>
      <c r="AA10" s="191"/>
      <c r="AB10" s="192"/>
      <c r="AC10" s="191">
        <f t="shared" si="0"/>
        <v>0</v>
      </c>
      <c r="AD10" s="192"/>
      <c r="AE10" s="193"/>
      <c r="AF10" s="194"/>
      <c r="AG10" s="160">
        <f>SUM(G10:AF10)</f>
        <v>45000</v>
      </c>
      <c r="AH10" s="161"/>
      <c r="AI10" s="177"/>
      <c r="AJ10" s="34"/>
      <c r="AK10" s="23"/>
      <c r="AL10" s="35"/>
      <c r="AM10" s="35" t="s">
        <v>31</v>
      </c>
      <c r="AN10" s="161" t="s">
        <v>32</v>
      </c>
      <c r="AO10" s="161"/>
      <c r="AP10" s="161"/>
      <c r="AQ10" s="161"/>
      <c r="AR10" s="161"/>
      <c r="AS10" s="161"/>
      <c r="AT10" s="161"/>
      <c r="AU10" s="175"/>
      <c r="AV10" s="175"/>
      <c r="AW10" s="175"/>
      <c r="AX10" s="175"/>
      <c r="AY10" s="175"/>
      <c r="AZ10" s="175"/>
      <c r="BA10" s="175"/>
      <c r="BB10" s="175"/>
      <c r="BC10" s="175"/>
      <c r="BD10" s="175"/>
      <c r="BE10" s="175"/>
      <c r="BF10" s="175"/>
      <c r="BG10" s="39" t="s">
        <v>25</v>
      </c>
      <c r="BH10" s="187">
        <f>AG15</f>
        <v>183720</v>
      </c>
      <c r="BI10" s="195"/>
      <c r="BJ10" s="40"/>
      <c r="BK10" s="161"/>
      <c r="BL10" s="92"/>
      <c r="BM10" s="35"/>
      <c r="BN10" s="161"/>
      <c r="BO10" s="92"/>
      <c r="BP10" s="35"/>
      <c r="BQ10" s="161"/>
      <c r="BR10" s="161"/>
      <c r="BS10" s="92"/>
      <c r="BT10" s="7"/>
    </row>
    <row r="11" spans="1:72">
      <c r="A11" s="186" t="s">
        <v>33</v>
      </c>
      <c r="B11" s="187"/>
      <c r="C11" s="187"/>
      <c r="D11" s="187"/>
      <c r="E11" s="187"/>
      <c r="F11" s="188"/>
      <c r="G11" s="189"/>
      <c r="H11" s="190"/>
      <c r="I11" s="189"/>
      <c r="J11" s="190"/>
      <c r="K11" s="189"/>
      <c r="L11" s="190"/>
      <c r="M11" s="189"/>
      <c r="N11" s="190"/>
      <c r="O11" s="189"/>
      <c r="P11" s="190"/>
      <c r="Q11" s="189"/>
      <c r="R11" s="190"/>
      <c r="S11" s="189"/>
      <c r="T11" s="190"/>
      <c r="U11" s="189"/>
      <c r="V11" s="190"/>
      <c r="W11" s="189"/>
      <c r="X11" s="190"/>
      <c r="Y11" s="189"/>
      <c r="Z11" s="190"/>
      <c r="AA11" s="201">
        <f t="shared" ref="AA11:AA14" si="1">Y11</f>
        <v>0</v>
      </c>
      <c r="AB11" s="202"/>
      <c r="AC11" s="201">
        <f t="shared" si="0"/>
        <v>0</v>
      </c>
      <c r="AD11" s="202"/>
      <c r="AE11" s="193"/>
      <c r="AF11" s="194"/>
      <c r="AG11" s="160">
        <f>SUM(G11:AF11)</f>
        <v>0</v>
      </c>
      <c r="AH11" s="161"/>
      <c r="AI11" s="177"/>
      <c r="AJ11" s="34"/>
      <c r="AK11" s="23"/>
      <c r="AL11" s="35"/>
      <c r="AM11" s="35" t="s">
        <v>34</v>
      </c>
      <c r="AN11" s="161" t="s">
        <v>35</v>
      </c>
      <c r="AO11" s="175"/>
      <c r="AP11" s="175"/>
      <c r="AQ11" s="175"/>
      <c r="AR11" s="175"/>
      <c r="AS11" s="175"/>
      <c r="AT11" s="175"/>
      <c r="AU11" s="175"/>
      <c r="AV11" s="175"/>
      <c r="AW11" s="41" t="s">
        <v>36</v>
      </c>
      <c r="AX11" s="175">
        <f>AG40</f>
        <v>102000</v>
      </c>
      <c r="AY11" s="175"/>
      <c r="AZ11" s="42" t="s">
        <v>5</v>
      </c>
      <c r="BA11" s="43" t="s">
        <v>25</v>
      </c>
      <c r="BB11" s="175">
        <f>IF(OR(S5="Y",S5="y"),ROUND((AG9+AG16+AG23+AG24)*10%,0),ROUND(AG9*10%,0))</f>
        <v>42868</v>
      </c>
      <c r="BC11" s="175"/>
      <c r="BD11" s="44" t="s">
        <v>37</v>
      </c>
      <c r="BE11" s="44"/>
      <c r="BF11" s="44"/>
      <c r="BG11" s="45" t="s">
        <v>25</v>
      </c>
      <c r="BH11" s="200">
        <f>IF((AX11-BB11)&lt;0,0,AX11-BB11)</f>
        <v>59132</v>
      </c>
      <c r="BI11" s="139"/>
      <c r="BJ11" s="40"/>
      <c r="BK11" s="161"/>
      <c r="BL11" s="92"/>
      <c r="BM11" s="35"/>
      <c r="BN11" s="161"/>
      <c r="BO11" s="92"/>
      <c r="BP11" s="35"/>
      <c r="BQ11" s="161"/>
      <c r="BR11" s="161"/>
      <c r="BS11" s="92"/>
      <c r="BT11" s="7"/>
    </row>
    <row r="12" spans="1:72">
      <c r="A12" s="31"/>
      <c r="B12" s="46"/>
      <c r="C12" s="197" t="s">
        <v>38</v>
      </c>
      <c r="D12" s="197"/>
      <c r="E12" s="197"/>
      <c r="F12" s="198"/>
      <c r="G12" s="199" t="s">
        <v>2</v>
      </c>
      <c r="H12" s="196"/>
      <c r="I12" s="199" t="s">
        <v>2</v>
      </c>
      <c r="J12" s="196"/>
      <c r="K12" s="199" t="s">
        <v>2</v>
      </c>
      <c r="L12" s="196"/>
      <c r="M12" s="199" t="s">
        <v>2</v>
      </c>
      <c r="N12" s="196"/>
      <c r="O12" s="199" t="s">
        <v>2</v>
      </c>
      <c r="P12" s="196"/>
      <c r="Q12" s="199" t="s">
        <v>2</v>
      </c>
      <c r="R12" s="196"/>
      <c r="S12" s="199" t="s">
        <v>2</v>
      </c>
      <c r="T12" s="196"/>
      <c r="U12" s="199" t="s">
        <v>2</v>
      </c>
      <c r="V12" s="196"/>
      <c r="W12" s="199" t="s">
        <v>2</v>
      </c>
      <c r="X12" s="196"/>
      <c r="Y12" s="199" t="s">
        <v>2</v>
      </c>
      <c r="Z12" s="196"/>
      <c r="AA12" s="196" t="str">
        <f t="shared" si="1"/>
        <v>N</v>
      </c>
      <c r="AB12" s="196"/>
      <c r="AC12" s="196" t="str">
        <f t="shared" si="0"/>
        <v>N</v>
      </c>
      <c r="AD12" s="196"/>
      <c r="AE12" s="211"/>
      <c r="AF12" s="212"/>
      <c r="AG12" s="160"/>
      <c r="AH12" s="161"/>
      <c r="AI12" s="177"/>
      <c r="AJ12" s="34"/>
      <c r="AK12" s="23"/>
      <c r="AL12" s="35"/>
      <c r="AM12" s="35" t="s">
        <v>39</v>
      </c>
      <c r="AN12" s="161" t="s">
        <v>40</v>
      </c>
      <c r="AO12" s="175"/>
      <c r="AP12" s="175"/>
      <c r="AQ12" s="175"/>
      <c r="AR12" s="175"/>
      <c r="AS12" s="175"/>
      <c r="AT12" s="175"/>
      <c r="AU12" s="175"/>
      <c r="AV12" s="175"/>
      <c r="AW12" s="213" t="s">
        <v>41</v>
      </c>
      <c r="AX12" s="175"/>
      <c r="AY12" s="175"/>
      <c r="AZ12" s="214">
        <f>IF(OR(S5="Y",S5="y"),(AG9+AG16+AG23+AG24),ROUND(AG9,0))</f>
        <v>428680</v>
      </c>
      <c r="BA12" s="214"/>
      <c r="BB12" s="214"/>
      <c r="BC12" s="214"/>
      <c r="BD12" s="44" t="s">
        <v>37</v>
      </c>
      <c r="BE12" s="44"/>
      <c r="BF12" s="44"/>
      <c r="BG12" s="45" t="s">
        <v>25</v>
      </c>
      <c r="BH12" s="200">
        <f>ROUND(AZ12*50%,0)</f>
        <v>214340</v>
      </c>
      <c r="BI12" s="139"/>
      <c r="BJ12" s="40"/>
      <c r="BK12" s="161"/>
      <c r="BL12" s="92"/>
      <c r="BM12" s="35"/>
      <c r="BN12" s="161"/>
      <c r="BO12" s="175"/>
      <c r="BP12" s="35"/>
      <c r="BQ12" s="161"/>
      <c r="BR12" s="161"/>
      <c r="BS12" s="92"/>
      <c r="BT12" s="7"/>
    </row>
    <row r="13" spans="1:72">
      <c r="A13" s="35"/>
      <c r="B13" s="47"/>
      <c r="C13" s="209" t="s">
        <v>42</v>
      </c>
      <c r="D13" s="209"/>
      <c r="E13" s="203" t="s">
        <v>43</v>
      </c>
      <c r="F13" s="204"/>
      <c r="G13" s="207">
        <v>1</v>
      </c>
      <c r="H13" s="208"/>
      <c r="I13" s="207">
        <v>1</v>
      </c>
      <c r="J13" s="208"/>
      <c r="K13" s="207">
        <v>1</v>
      </c>
      <c r="L13" s="208"/>
      <c r="M13" s="207">
        <v>1</v>
      </c>
      <c r="N13" s="208"/>
      <c r="O13" s="207">
        <v>1</v>
      </c>
      <c r="P13" s="208"/>
      <c r="Q13" s="207">
        <v>1</v>
      </c>
      <c r="R13" s="208"/>
      <c r="S13" s="207">
        <v>1</v>
      </c>
      <c r="T13" s="208"/>
      <c r="U13" s="207">
        <v>1</v>
      </c>
      <c r="V13" s="208"/>
      <c r="W13" s="207">
        <v>1</v>
      </c>
      <c r="X13" s="208"/>
      <c r="Y13" s="207">
        <v>1</v>
      </c>
      <c r="Z13" s="208"/>
      <c r="AA13" s="208">
        <f t="shared" si="1"/>
        <v>1</v>
      </c>
      <c r="AB13" s="208"/>
      <c r="AC13" s="208">
        <f t="shared" si="0"/>
        <v>1</v>
      </c>
      <c r="AD13" s="208"/>
      <c r="AE13" s="211"/>
      <c r="AF13" s="212"/>
      <c r="AG13" s="160"/>
      <c r="AH13" s="161"/>
      <c r="AI13" s="177"/>
      <c r="AJ13" s="34"/>
      <c r="AK13" s="23"/>
      <c r="AL13" s="35"/>
      <c r="AM13" s="215" t="s">
        <v>202</v>
      </c>
      <c r="AN13" s="176"/>
      <c r="AO13" s="176"/>
      <c r="AP13" s="176"/>
      <c r="AQ13" s="176"/>
      <c r="AR13" s="176"/>
      <c r="AS13" s="161"/>
      <c r="AT13" s="161"/>
      <c r="AU13" s="161"/>
      <c r="AV13" s="161"/>
      <c r="AW13" s="175"/>
      <c r="AX13" s="175"/>
      <c r="AY13" s="175"/>
      <c r="AZ13" s="175"/>
      <c r="BA13" s="175"/>
      <c r="BB13" s="175"/>
      <c r="BC13" s="175"/>
      <c r="BD13" s="175"/>
      <c r="BE13" s="175"/>
      <c r="BF13" s="175"/>
      <c r="BG13" s="175"/>
      <c r="BH13" s="175"/>
      <c r="BI13" s="92"/>
      <c r="BJ13" s="40"/>
      <c r="BK13" s="40"/>
      <c r="BL13" s="48"/>
      <c r="BM13" s="35"/>
      <c r="BN13" s="40"/>
      <c r="BO13" s="44"/>
      <c r="BP13" s="49" t="s">
        <v>25</v>
      </c>
      <c r="BQ13" s="161">
        <v>50000</v>
      </c>
      <c r="BR13" s="161"/>
      <c r="BS13" s="92"/>
      <c r="BT13" s="7"/>
    </row>
    <row r="14" spans="1:72">
      <c r="A14" s="50"/>
      <c r="B14" s="51"/>
      <c r="C14" s="210"/>
      <c r="D14" s="210"/>
      <c r="E14" s="203" t="s">
        <v>44</v>
      </c>
      <c r="F14" s="204"/>
      <c r="G14" s="205" t="s">
        <v>45</v>
      </c>
      <c r="H14" s="206"/>
      <c r="I14" s="205" t="s">
        <v>45</v>
      </c>
      <c r="J14" s="206"/>
      <c r="K14" s="205" t="s">
        <v>45</v>
      </c>
      <c r="L14" s="206"/>
      <c r="M14" s="205" t="s">
        <v>45</v>
      </c>
      <c r="N14" s="206"/>
      <c r="O14" s="205" t="s">
        <v>45</v>
      </c>
      <c r="P14" s="206"/>
      <c r="Q14" s="205" t="s">
        <v>45</v>
      </c>
      <c r="R14" s="206"/>
      <c r="S14" s="205" t="s">
        <v>45</v>
      </c>
      <c r="T14" s="206"/>
      <c r="U14" s="205" t="s">
        <v>45</v>
      </c>
      <c r="V14" s="206"/>
      <c r="W14" s="205" t="s">
        <v>45</v>
      </c>
      <c r="X14" s="206"/>
      <c r="Y14" s="205" t="s">
        <v>45</v>
      </c>
      <c r="Z14" s="206"/>
      <c r="AA14" s="206" t="str">
        <f t="shared" si="1"/>
        <v>X</v>
      </c>
      <c r="AB14" s="206"/>
      <c r="AC14" s="206" t="str">
        <f t="shared" si="0"/>
        <v>X</v>
      </c>
      <c r="AD14" s="206"/>
      <c r="AE14" s="211"/>
      <c r="AF14" s="212"/>
      <c r="AG14" s="160"/>
      <c r="AH14" s="161"/>
      <c r="AI14" s="177"/>
      <c r="AJ14" s="34"/>
      <c r="AK14" s="23"/>
      <c r="AL14" s="35"/>
      <c r="AM14" s="215" t="s">
        <v>46</v>
      </c>
      <c r="AN14" s="176"/>
      <c r="AO14" s="176"/>
      <c r="AP14" s="176"/>
      <c r="AQ14" s="176"/>
      <c r="AR14" s="176"/>
      <c r="AS14" s="161"/>
      <c r="AT14" s="161"/>
      <c r="AU14" s="161"/>
      <c r="AV14" s="161"/>
      <c r="AW14" s="175"/>
      <c r="AX14" s="175"/>
      <c r="AY14" s="175"/>
      <c r="AZ14" s="175"/>
      <c r="BA14" s="175"/>
      <c r="BB14" s="175"/>
      <c r="BC14" s="175"/>
      <c r="BD14" s="175"/>
      <c r="BE14" s="175"/>
      <c r="BF14" s="175"/>
      <c r="BG14" s="175"/>
      <c r="BH14" s="175"/>
      <c r="BI14" s="92"/>
      <c r="BJ14" s="40"/>
      <c r="BK14" s="40"/>
      <c r="BL14" s="48"/>
      <c r="BM14" s="35"/>
      <c r="BN14" s="40"/>
      <c r="BO14" s="44"/>
      <c r="BP14" s="49" t="s">
        <v>25</v>
      </c>
      <c r="BQ14" s="161"/>
      <c r="BR14" s="161"/>
      <c r="BS14" s="92"/>
      <c r="BT14" s="7"/>
    </row>
    <row r="15" spans="1:72">
      <c r="A15" s="170" t="s">
        <v>47</v>
      </c>
      <c r="B15" s="156"/>
      <c r="C15" s="156"/>
      <c r="D15" s="156"/>
      <c r="E15" s="156"/>
      <c r="F15" s="171"/>
      <c r="G15" s="154">
        <v>14460</v>
      </c>
      <c r="H15" s="216"/>
      <c r="I15" s="154">
        <v>14460</v>
      </c>
      <c r="J15" s="216"/>
      <c r="K15" s="154">
        <v>14460</v>
      </c>
      <c r="L15" s="216"/>
      <c r="M15" s="154">
        <v>14460</v>
      </c>
      <c r="N15" s="216"/>
      <c r="O15" s="154">
        <v>14460</v>
      </c>
      <c r="P15" s="216"/>
      <c r="Q15" s="154">
        <v>14460</v>
      </c>
      <c r="R15" s="216"/>
      <c r="S15" s="154">
        <v>14460</v>
      </c>
      <c r="T15" s="216"/>
      <c r="U15" s="154">
        <v>14460</v>
      </c>
      <c r="V15" s="216"/>
      <c r="W15" s="154">
        <v>14460</v>
      </c>
      <c r="X15" s="216"/>
      <c r="Y15" s="154">
        <v>14460</v>
      </c>
      <c r="Z15" s="216"/>
      <c r="AA15" s="154">
        <v>19560</v>
      </c>
      <c r="AB15" s="216"/>
      <c r="AC15" s="154">
        <v>19560</v>
      </c>
      <c r="AD15" s="216"/>
      <c r="AE15" s="217"/>
      <c r="AF15" s="218"/>
      <c r="AG15" s="160">
        <f>SUM(G15:AF15)</f>
        <v>183720</v>
      </c>
      <c r="AH15" s="161"/>
      <c r="AI15" s="177"/>
      <c r="AJ15" s="34"/>
      <c r="AK15" s="23"/>
      <c r="AL15" s="35"/>
      <c r="AM15" s="219" t="s">
        <v>48</v>
      </c>
      <c r="AN15" s="159"/>
      <c r="AO15" s="159"/>
      <c r="AP15" s="159"/>
      <c r="AQ15" s="159"/>
      <c r="AR15" s="159"/>
      <c r="AS15" s="200"/>
      <c r="AT15" s="200"/>
      <c r="AU15" s="200"/>
      <c r="AV15" s="200"/>
      <c r="AW15" s="138"/>
      <c r="AX15" s="138"/>
      <c r="AY15" s="138"/>
      <c r="AZ15" s="138"/>
      <c r="BA15" s="138"/>
      <c r="BB15" s="138"/>
      <c r="BC15" s="138"/>
      <c r="BD15" s="138"/>
      <c r="BE15" s="138"/>
      <c r="BF15" s="138"/>
      <c r="BG15" s="138"/>
      <c r="BH15" s="138"/>
      <c r="BI15" s="139"/>
      <c r="BJ15" s="40"/>
      <c r="BK15" s="40"/>
      <c r="BL15" s="48"/>
      <c r="BM15" s="35"/>
      <c r="BN15" s="40"/>
      <c r="BO15" s="48"/>
      <c r="BP15" s="52" t="s">
        <v>25</v>
      </c>
      <c r="BQ15" s="200">
        <f>SUM(BQ8:BS14)</f>
        <v>109132</v>
      </c>
      <c r="BR15" s="200"/>
      <c r="BS15" s="139"/>
      <c r="BT15" s="7"/>
    </row>
    <row r="16" spans="1:72">
      <c r="A16" s="160" t="s">
        <v>21</v>
      </c>
      <c r="B16" s="161"/>
      <c r="C16" s="161"/>
      <c r="D16" s="161"/>
      <c r="E16" s="161"/>
      <c r="F16" s="177"/>
      <c r="G16" s="215">
        <v>9640</v>
      </c>
      <c r="H16" s="220"/>
      <c r="I16" s="215">
        <v>9640</v>
      </c>
      <c r="J16" s="220"/>
      <c r="K16" s="215">
        <v>9640</v>
      </c>
      <c r="L16" s="220"/>
      <c r="M16" s="215">
        <v>9640</v>
      </c>
      <c r="N16" s="220"/>
      <c r="O16" s="215">
        <v>9640</v>
      </c>
      <c r="P16" s="220"/>
      <c r="Q16" s="215">
        <v>9640</v>
      </c>
      <c r="R16" s="220"/>
      <c r="S16" s="215">
        <v>9640</v>
      </c>
      <c r="T16" s="220"/>
      <c r="U16" s="215">
        <v>9640</v>
      </c>
      <c r="V16" s="220"/>
      <c r="W16" s="215">
        <v>9640</v>
      </c>
      <c r="X16" s="220"/>
      <c r="Y16" s="215">
        <v>9640</v>
      </c>
      <c r="Z16" s="220"/>
      <c r="AA16" s="215">
        <v>13040</v>
      </c>
      <c r="AB16" s="220"/>
      <c r="AC16" s="215">
        <v>13040</v>
      </c>
      <c r="AD16" s="220"/>
      <c r="AE16" s="217"/>
      <c r="AF16" s="218"/>
      <c r="AG16" s="160">
        <f>SUM(G16:AF16)</f>
        <v>122480</v>
      </c>
      <c r="AH16" s="161"/>
      <c r="AI16" s="177"/>
      <c r="AJ16" s="34"/>
      <c r="AK16" s="23"/>
      <c r="AL16" s="53">
        <v>3</v>
      </c>
      <c r="AM16" s="219" t="s">
        <v>49</v>
      </c>
      <c r="AN16" s="159"/>
      <c r="AO16" s="159"/>
      <c r="AP16" s="159"/>
      <c r="AQ16" s="159"/>
      <c r="AR16" s="159"/>
      <c r="AS16" s="200"/>
      <c r="AT16" s="200"/>
      <c r="AU16" s="200"/>
      <c r="AV16" s="200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9"/>
      <c r="BJ16" s="54"/>
      <c r="BK16" s="159"/>
      <c r="BL16" s="139"/>
      <c r="BM16" s="55"/>
      <c r="BN16" s="200"/>
      <c r="BO16" s="139"/>
      <c r="BP16" s="52" t="s">
        <v>25</v>
      </c>
      <c r="BQ16" s="159">
        <f>BQ7-BQ15</f>
        <v>548268</v>
      </c>
      <c r="BR16" s="159"/>
      <c r="BS16" s="139"/>
      <c r="BT16" s="7"/>
    </row>
    <row r="17" spans="1:72">
      <c r="A17" s="160" t="s">
        <v>50</v>
      </c>
      <c r="B17" s="161"/>
      <c r="C17" s="161"/>
      <c r="D17" s="161"/>
      <c r="E17" s="161"/>
      <c r="F17" s="177"/>
      <c r="G17" s="221">
        <v>0</v>
      </c>
      <c r="H17" s="222"/>
      <c r="I17" s="221">
        <v>0</v>
      </c>
      <c r="J17" s="222"/>
      <c r="K17" s="221">
        <v>0</v>
      </c>
      <c r="L17" s="222"/>
      <c r="M17" s="221">
        <v>0</v>
      </c>
      <c r="N17" s="222"/>
      <c r="O17" s="221">
        <v>0</v>
      </c>
      <c r="P17" s="222"/>
      <c r="Q17" s="221">
        <v>0</v>
      </c>
      <c r="R17" s="222"/>
      <c r="S17" s="221">
        <v>0</v>
      </c>
      <c r="T17" s="222"/>
      <c r="U17" s="221">
        <v>0</v>
      </c>
      <c r="V17" s="222"/>
      <c r="W17" s="221">
        <v>0</v>
      </c>
      <c r="X17" s="222"/>
      <c r="Y17" s="221">
        <v>0</v>
      </c>
      <c r="Z17" s="222"/>
      <c r="AA17" s="191">
        <f t="shared" ref="AA17" si="2">Y17</f>
        <v>0</v>
      </c>
      <c r="AB17" s="192"/>
      <c r="AC17" s="191">
        <f t="shared" ref="AC17" si="3">AA17</f>
        <v>0</v>
      </c>
      <c r="AD17" s="192"/>
      <c r="AE17" s="217"/>
      <c r="AF17" s="218"/>
      <c r="AG17" s="160">
        <f>SUM(G17:AF17)</f>
        <v>0</v>
      </c>
      <c r="AH17" s="161"/>
      <c r="AI17" s="177"/>
      <c r="AJ17" s="34"/>
      <c r="AK17" s="23"/>
      <c r="AL17" s="27">
        <v>4</v>
      </c>
      <c r="AM17" s="154" t="s">
        <v>51</v>
      </c>
      <c r="AN17" s="155"/>
      <c r="AO17" s="155"/>
      <c r="AP17" s="155"/>
      <c r="AQ17" s="155"/>
      <c r="AR17" s="155"/>
      <c r="AS17" s="156"/>
      <c r="AT17" s="156"/>
      <c r="AU17" s="156"/>
      <c r="AV17" s="156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  <c r="BI17" s="158"/>
      <c r="BJ17" s="28"/>
      <c r="BK17" s="155"/>
      <c r="BL17" s="158"/>
      <c r="BM17" s="31"/>
      <c r="BN17" s="155"/>
      <c r="BO17" s="158"/>
      <c r="BP17" s="28"/>
      <c r="BQ17" s="155"/>
      <c r="BR17" s="155"/>
      <c r="BS17" s="158"/>
      <c r="BT17" s="7"/>
    </row>
    <row r="18" spans="1:72">
      <c r="A18" s="186" t="s">
        <v>52</v>
      </c>
      <c r="B18" s="187"/>
      <c r="C18" s="187"/>
      <c r="D18" s="187"/>
      <c r="E18" s="187"/>
      <c r="F18" s="188"/>
      <c r="G18" s="223">
        <v>0</v>
      </c>
      <c r="H18" s="224"/>
      <c r="I18" s="223">
        <v>0</v>
      </c>
      <c r="J18" s="224"/>
      <c r="K18" s="223">
        <v>0</v>
      </c>
      <c r="L18" s="224"/>
      <c r="M18" s="223">
        <v>0</v>
      </c>
      <c r="N18" s="224"/>
      <c r="O18" s="223">
        <v>0</v>
      </c>
      <c r="P18" s="224"/>
      <c r="Q18" s="223">
        <v>0</v>
      </c>
      <c r="R18" s="224"/>
      <c r="S18" s="223">
        <v>0</v>
      </c>
      <c r="T18" s="224"/>
      <c r="U18" s="223">
        <v>0</v>
      </c>
      <c r="V18" s="224"/>
      <c r="W18" s="223">
        <v>0</v>
      </c>
      <c r="X18" s="224"/>
      <c r="Y18" s="223">
        <v>0</v>
      </c>
      <c r="Z18" s="224"/>
      <c r="AA18" s="223">
        <v>0</v>
      </c>
      <c r="AB18" s="224"/>
      <c r="AC18" s="223">
        <v>0</v>
      </c>
      <c r="AD18" s="224"/>
      <c r="AE18" s="217"/>
      <c r="AF18" s="218"/>
      <c r="AG18" s="160">
        <f>SUM(G18:AF18)</f>
        <v>0</v>
      </c>
      <c r="AH18" s="161"/>
      <c r="AI18" s="177"/>
      <c r="AJ18" s="34"/>
      <c r="AK18" s="23"/>
      <c r="AL18" s="56"/>
      <c r="AM18" s="37" t="s">
        <v>31</v>
      </c>
      <c r="AN18" s="176" t="s">
        <v>53</v>
      </c>
      <c r="AO18" s="161"/>
      <c r="AP18" s="161"/>
      <c r="AQ18" s="161"/>
      <c r="AR18" s="161"/>
      <c r="AS18" s="161"/>
      <c r="AT18" s="161"/>
      <c r="AU18" s="227"/>
      <c r="AV18" s="227"/>
      <c r="AW18" s="227"/>
      <c r="AX18" s="227"/>
      <c r="AY18" s="227"/>
      <c r="AZ18" s="227"/>
      <c r="BA18" s="227"/>
      <c r="BB18" s="227"/>
      <c r="BC18" s="227"/>
      <c r="BD18" s="227"/>
      <c r="BE18" s="227"/>
      <c r="BF18" s="227"/>
      <c r="BG18" s="43" t="s">
        <v>25</v>
      </c>
      <c r="BH18" s="225"/>
      <c r="BI18" s="195"/>
      <c r="BJ18" s="57"/>
      <c r="BK18" s="176"/>
      <c r="BL18" s="92"/>
      <c r="BM18" s="38"/>
      <c r="BN18" s="161"/>
      <c r="BO18" s="92"/>
      <c r="BP18" s="57"/>
      <c r="BQ18" s="220"/>
      <c r="BR18" s="220"/>
      <c r="BS18" s="92"/>
      <c r="BT18" s="7"/>
    </row>
    <row r="19" spans="1:72">
      <c r="A19" s="170" t="s">
        <v>54</v>
      </c>
      <c r="B19" s="156"/>
      <c r="C19" s="156"/>
      <c r="D19" s="156"/>
      <c r="E19" s="156"/>
      <c r="F19" s="171"/>
      <c r="G19" s="154">
        <f>SUM(G9:H11,G15:H18)</f>
        <v>48200</v>
      </c>
      <c r="H19" s="216"/>
      <c r="I19" s="154">
        <f>SUM(I9:J11,I15:J18)</f>
        <v>48200</v>
      </c>
      <c r="J19" s="216"/>
      <c r="K19" s="154">
        <f>SUM(K9:L11,K15:L18)</f>
        <v>48200</v>
      </c>
      <c r="L19" s="216"/>
      <c r="M19" s="154">
        <f>SUM(M9:N11,M15:N18)</f>
        <v>48200</v>
      </c>
      <c r="N19" s="216"/>
      <c r="O19" s="154">
        <f>SUM(O9:P11,O15:P18)</f>
        <v>48200</v>
      </c>
      <c r="P19" s="216"/>
      <c r="Q19" s="154">
        <f>SUM(Q9:R11,Q15:R18)</f>
        <v>48200</v>
      </c>
      <c r="R19" s="216"/>
      <c r="S19" s="154">
        <f>SUM(S9:T11,S15:T18)</f>
        <v>48200</v>
      </c>
      <c r="T19" s="216"/>
      <c r="U19" s="154">
        <f>SUM(U9:V11,U15:V18)</f>
        <v>48200</v>
      </c>
      <c r="V19" s="216"/>
      <c r="W19" s="154">
        <f>SUM(W9:X11,W15:X18)</f>
        <v>48200</v>
      </c>
      <c r="X19" s="216"/>
      <c r="Y19" s="154">
        <f>SUM(Y9:Z11,Y15:Z18)</f>
        <v>93200</v>
      </c>
      <c r="Z19" s="216"/>
      <c r="AA19" s="154">
        <f t="shared" ref="AA19" si="4">SUM(AA9:AB11,AA15:AB18)</f>
        <v>65200</v>
      </c>
      <c r="AB19" s="216"/>
      <c r="AC19" s="154">
        <f t="shared" ref="AC19" si="5">SUM(AC9:AD11,AC15:AD18)</f>
        <v>65200</v>
      </c>
      <c r="AD19" s="216"/>
      <c r="AE19" s="217"/>
      <c r="AF19" s="218"/>
      <c r="AG19" s="170">
        <f>SUM(G19:AF19)</f>
        <v>657400</v>
      </c>
      <c r="AH19" s="156"/>
      <c r="AI19" s="171"/>
      <c r="AJ19" s="34"/>
      <c r="AK19" s="23"/>
      <c r="AL19" s="58"/>
      <c r="AM19" s="59" t="s">
        <v>34</v>
      </c>
      <c r="AN19" s="225" t="s">
        <v>55</v>
      </c>
      <c r="AO19" s="187"/>
      <c r="AP19" s="187"/>
      <c r="AQ19" s="187"/>
      <c r="AR19" s="187"/>
      <c r="AS19" s="187"/>
      <c r="AT19" s="187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39" t="s">
        <v>25</v>
      </c>
      <c r="BH19" s="159">
        <f>AG41</f>
        <v>0</v>
      </c>
      <c r="BI19" s="139"/>
      <c r="BJ19" s="60"/>
      <c r="BK19" s="225"/>
      <c r="BL19" s="195"/>
      <c r="BM19" s="61"/>
      <c r="BN19" s="187"/>
      <c r="BO19" s="195"/>
      <c r="BP19" s="60"/>
      <c r="BQ19" s="176"/>
      <c r="BR19" s="176"/>
      <c r="BS19" s="92"/>
      <c r="BT19" s="7"/>
    </row>
    <row r="20" spans="1:72">
      <c r="A20" s="186"/>
      <c r="B20" s="187"/>
      <c r="C20" s="187"/>
      <c r="D20" s="187"/>
      <c r="E20" s="187"/>
      <c r="F20" s="188"/>
      <c r="G20" s="223"/>
      <c r="H20" s="224"/>
      <c r="I20" s="223"/>
      <c r="J20" s="224"/>
      <c r="K20" s="223"/>
      <c r="L20" s="224"/>
      <c r="M20" s="223"/>
      <c r="N20" s="224"/>
      <c r="O20" s="223"/>
      <c r="P20" s="224"/>
      <c r="Q20" s="223"/>
      <c r="R20" s="224"/>
      <c r="S20" s="223"/>
      <c r="T20" s="224"/>
      <c r="U20" s="223"/>
      <c r="V20" s="224"/>
      <c r="W20" s="223"/>
      <c r="X20" s="224"/>
      <c r="Y20" s="223"/>
      <c r="Z20" s="224"/>
      <c r="AA20" s="223"/>
      <c r="AB20" s="224"/>
      <c r="AC20" s="223"/>
      <c r="AD20" s="224"/>
      <c r="AE20" s="217"/>
      <c r="AF20" s="218"/>
      <c r="AG20" s="160"/>
      <c r="AH20" s="161"/>
      <c r="AI20" s="177"/>
      <c r="AJ20" s="34"/>
      <c r="AK20" s="23"/>
      <c r="AL20" s="53">
        <v>5</v>
      </c>
      <c r="AM20" s="219" t="s">
        <v>56</v>
      </c>
      <c r="AN20" s="159"/>
      <c r="AO20" s="159"/>
      <c r="AP20" s="159"/>
      <c r="AQ20" s="159"/>
      <c r="AR20" s="159"/>
      <c r="AS20" s="200"/>
      <c r="AT20" s="200"/>
      <c r="AU20" s="200"/>
      <c r="AV20" s="200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9"/>
      <c r="BJ20" s="60"/>
      <c r="BK20" s="159"/>
      <c r="BL20" s="139"/>
      <c r="BM20" s="55"/>
      <c r="BN20" s="200"/>
      <c r="BO20" s="139"/>
      <c r="BP20" s="52" t="s">
        <v>25</v>
      </c>
      <c r="BQ20" s="159">
        <f>SUM(BH18:BI19)</f>
        <v>0</v>
      </c>
      <c r="BR20" s="159"/>
      <c r="BS20" s="139"/>
      <c r="BT20" s="7"/>
    </row>
    <row r="21" spans="1:72">
      <c r="A21" s="229" t="s">
        <v>57</v>
      </c>
      <c r="B21" s="229"/>
      <c r="C21" s="229"/>
      <c r="D21" s="229"/>
      <c r="E21" s="229"/>
      <c r="F21" s="229"/>
      <c r="G21" s="228">
        <f>G19-G20</f>
        <v>48200</v>
      </c>
      <c r="H21" s="228"/>
      <c r="I21" s="228">
        <f>I19-I20</f>
        <v>48200</v>
      </c>
      <c r="J21" s="228"/>
      <c r="K21" s="228">
        <f>K19-K20</f>
        <v>48200</v>
      </c>
      <c r="L21" s="228"/>
      <c r="M21" s="228">
        <f>M19-M20</f>
        <v>48200</v>
      </c>
      <c r="N21" s="228"/>
      <c r="O21" s="228">
        <f>O19-O20</f>
        <v>48200</v>
      </c>
      <c r="P21" s="228"/>
      <c r="Q21" s="228">
        <f>Q19-Q20</f>
        <v>48200</v>
      </c>
      <c r="R21" s="228"/>
      <c r="S21" s="228">
        <f>S19-S20</f>
        <v>48200</v>
      </c>
      <c r="T21" s="228"/>
      <c r="U21" s="228">
        <f>U19-U20</f>
        <v>48200</v>
      </c>
      <c r="V21" s="228"/>
      <c r="W21" s="228">
        <f>W19-W20</f>
        <v>48200</v>
      </c>
      <c r="X21" s="228"/>
      <c r="Y21" s="228">
        <f>Y19-Y20</f>
        <v>93200</v>
      </c>
      <c r="Z21" s="228"/>
      <c r="AA21" s="228">
        <f>AA19-AA20</f>
        <v>65200</v>
      </c>
      <c r="AB21" s="228"/>
      <c r="AC21" s="228">
        <f>AC19-AC20</f>
        <v>65200</v>
      </c>
      <c r="AD21" s="228"/>
      <c r="AE21" s="244"/>
      <c r="AF21" s="244"/>
      <c r="AG21" s="170">
        <f>SUM(G21:AF21)</f>
        <v>657400</v>
      </c>
      <c r="AH21" s="156"/>
      <c r="AI21" s="171"/>
      <c r="AJ21" s="34"/>
      <c r="AK21" s="23"/>
      <c r="AL21" s="53">
        <v>6</v>
      </c>
      <c r="AM21" s="219" t="s">
        <v>58</v>
      </c>
      <c r="AN21" s="200"/>
      <c r="AO21" s="200"/>
      <c r="AP21" s="200"/>
      <c r="AQ21" s="200"/>
      <c r="AR21" s="200"/>
      <c r="AS21" s="200"/>
      <c r="AT21" s="200"/>
      <c r="AU21" s="200"/>
      <c r="AV21" s="200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9"/>
      <c r="BJ21" s="54"/>
      <c r="BK21" s="159"/>
      <c r="BL21" s="139"/>
      <c r="BM21" s="50"/>
      <c r="BN21" s="159"/>
      <c r="BO21" s="139"/>
      <c r="BP21" s="52" t="s">
        <v>25</v>
      </c>
      <c r="BQ21" s="159">
        <f>BQ16-BQ20</f>
        <v>548268</v>
      </c>
      <c r="BR21" s="159"/>
      <c r="BS21" s="139"/>
      <c r="BT21" s="7"/>
    </row>
    <row r="22" spans="1:72">
      <c r="A22" s="104" t="str">
        <f>IF(OR(S5="Y",S5="y"),"Govt's cont 2 NPS on Pay","")</f>
        <v>Govt's cont 2 NPS on Pay</v>
      </c>
      <c r="B22" s="104"/>
      <c r="C22" s="104"/>
      <c r="D22" s="104"/>
      <c r="E22" s="104"/>
      <c r="F22" s="104"/>
      <c r="G22" s="239">
        <v>0</v>
      </c>
      <c r="H22" s="239"/>
      <c r="I22" s="238">
        <v>0</v>
      </c>
      <c r="J22" s="238"/>
      <c r="K22" s="238">
        <v>0</v>
      </c>
      <c r="L22" s="238"/>
      <c r="M22" s="238">
        <v>0</v>
      </c>
      <c r="N22" s="238"/>
      <c r="O22" s="238">
        <v>0</v>
      </c>
      <c r="P22" s="238"/>
      <c r="Q22" s="238">
        <v>0</v>
      </c>
      <c r="R22" s="238"/>
      <c r="S22" s="238">
        <v>0</v>
      </c>
      <c r="T22" s="238"/>
      <c r="U22" s="238">
        <v>0</v>
      </c>
      <c r="V22" s="238"/>
      <c r="W22" s="238">
        <v>0</v>
      </c>
      <c r="X22" s="238"/>
      <c r="Y22" s="238">
        <v>0</v>
      </c>
      <c r="Z22" s="238"/>
      <c r="AA22" s="239">
        <v>0</v>
      </c>
      <c r="AB22" s="239"/>
      <c r="AC22" s="239">
        <v>0</v>
      </c>
      <c r="AD22" s="239"/>
      <c r="AE22" s="240"/>
      <c r="AF22" s="241"/>
      <c r="AG22" s="242">
        <f t="shared" ref="AG22:AG25" si="6">SUM(G22:AF22)</f>
        <v>0</v>
      </c>
      <c r="AH22" s="243"/>
      <c r="AI22" s="243"/>
      <c r="AJ22" s="34"/>
      <c r="AK22" s="23"/>
      <c r="AL22" s="27">
        <v>7</v>
      </c>
      <c r="AM22" s="230" t="s">
        <v>59</v>
      </c>
      <c r="AN22" s="156"/>
      <c r="AO22" s="156"/>
      <c r="AP22" s="156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  <c r="BI22" s="158"/>
      <c r="BJ22" s="28"/>
      <c r="BK22" s="155"/>
      <c r="BL22" s="158"/>
      <c r="BM22" s="31"/>
      <c r="BN22" s="155"/>
      <c r="BO22" s="158"/>
      <c r="BP22" s="30" t="s">
        <v>25</v>
      </c>
      <c r="BQ22" s="155">
        <f>SUM(BH23:BI24)</f>
        <v>0</v>
      </c>
      <c r="BR22" s="155"/>
      <c r="BS22" s="158"/>
      <c r="BT22" s="7"/>
    </row>
    <row r="23" spans="1:72">
      <c r="A23" s="231" t="s">
        <v>60</v>
      </c>
      <c r="B23" s="231"/>
      <c r="C23" s="231"/>
      <c r="D23" s="232" t="s">
        <v>28</v>
      </c>
      <c r="E23" s="232"/>
      <c r="F23" s="232"/>
      <c r="G23" s="233"/>
      <c r="H23" s="234"/>
      <c r="I23" s="235"/>
      <c r="J23" s="236"/>
      <c r="K23" s="237"/>
      <c r="L23" s="237"/>
      <c r="M23" s="235"/>
      <c r="N23" s="236"/>
      <c r="O23" s="235"/>
      <c r="P23" s="236"/>
      <c r="Q23" s="235"/>
      <c r="R23" s="236"/>
      <c r="S23" s="235"/>
      <c r="T23" s="236"/>
      <c r="U23" s="235">
        <v>0</v>
      </c>
      <c r="V23" s="236"/>
      <c r="W23" s="235"/>
      <c r="X23" s="236"/>
      <c r="Y23" s="235"/>
      <c r="Z23" s="236"/>
      <c r="AA23" s="235"/>
      <c r="AB23" s="236"/>
      <c r="AC23" s="235"/>
      <c r="AD23" s="236"/>
      <c r="AE23" s="248"/>
      <c r="AF23" s="246"/>
      <c r="AG23" s="170">
        <f t="shared" si="6"/>
        <v>0</v>
      </c>
      <c r="AH23" s="156"/>
      <c r="AI23" s="171"/>
      <c r="AJ23" s="34"/>
      <c r="AK23" s="23"/>
      <c r="AL23" s="56"/>
      <c r="AM23" s="3"/>
      <c r="AN23" s="62">
        <v>1</v>
      </c>
      <c r="AO23" s="99" t="str">
        <f>IF(OR(B43="",B43=0),"",B43)</f>
        <v>Inc. from House Property</v>
      </c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99"/>
      <c r="BF23" s="99"/>
      <c r="BG23" s="43" t="s">
        <v>25</v>
      </c>
      <c r="BH23" s="225">
        <f>IF(AG46&lt;-200000,-200000,AG46)</f>
        <v>0</v>
      </c>
      <c r="BI23" s="195"/>
      <c r="BJ23" s="35"/>
      <c r="BK23" s="40"/>
      <c r="BL23" s="47"/>
      <c r="BM23" s="35"/>
      <c r="BN23" s="40"/>
      <c r="BO23" s="47"/>
      <c r="BP23" s="35"/>
      <c r="BQ23" s="220"/>
      <c r="BR23" s="220"/>
      <c r="BS23" s="92"/>
      <c r="BT23" s="7"/>
    </row>
    <row r="24" spans="1:72">
      <c r="A24" s="231"/>
      <c r="B24" s="231"/>
      <c r="C24" s="231"/>
      <c r="D24" s="232" t="s">
        <v>61</v>
      </c>
      <c r="E24" s="232"/>
      <c r="F24" s="232"/>
      <c r="G24" s="217"/>
      <c r="H24" s="245"/>
      <c r="I24" s="191">
        <v>0</v>
      </c>
      <c r="J24" s="192"/>
      <c r="K24" s="246"/>
      <c r="L24" s="247"/>
      <c r="M24" s="248"/>
      <c r="N24" s="246"/>
      <c r="O24" s="248"/>
      <c r="P24" s="246"/>
      <c r="Q24" s="248"/>
      <c r="R24" s="246"/>
      <c r="S24" s="249">
        <v>0</v>
      </c>
      <c r="T24" s="249"/>
      <c r="U24" s="191">
        <v>0</v>
      </c>
      <c r="V24" s="192"/>
      <c r="W24" s="248"/>
      <c r="X24" s="246"/>
      <c r="Y24" s="248"/>
      <c r="Z24" s="246"/>
      <c r="AA24" s="248"/>
      <c r="AB24" s="246"/>
      <c r="AC24" s="248"/>
      <c r="AD24" s="246"/>
      <c r="AE24" s="248"/>
      <c r="AF24" s="246"/>
      <c r="AG24" s="160">
        <f t="shared" si="6"/>
        <v>0</v>
      </c>
      <c r="AH24" s="161"/>
      <c r="AI24" s="177"/>
      <c r="AJ24" s="34"/>
      <c r="AK24" s="23"/>
      <c r="AL24" s="58"/>
      <c r="AM24" s="3"/>
      <c r="AN24" s="62">
        <v>2</v>
      </c>
      <c r="AO24" s="99" t="str">
        <f>IF(OR(B47="",B47=0),"",B47)</f>
        <v>Interest on Housing Loan</v>
      </c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99"/>
      <c r="BF24" s="99"/>
      <c r="BG24" s="39" t="s">
        <v>25</v>
      </c>
      <c r="BH24" s="225">
        <f>AG47</f>
        <v>0</v>
      </c>
      <c r="BI24" s="195"/>
      <c r="BJ24" s="50"/>
      <c r="BK24" s="63"/>
      <c r="BL24" s="51"/>
      <c r="BM24" s="50"/>
      <c r="BN24" s="63"/>
      <c r="BO24" s="51"/>
      <c r="BP24" s="50"/>
      <c r="BQ24" s="220"/>
      <c r="BR24" s="220"/>
      <c r="BS24" s="92"/>
      <c r="BT24" s="7"/>
    </row>
    <row r="25" spans="1:72">
      <c r="A25" s="231"/>
      <c r="B25" s="231"/>
      <c r="C25" s="231"/>
      <c r="D25" s="232" t="s">
        <v>44</v>
      </c>
      <c r="E25" s="232"/>
      <c r="F25" s="232"/>
      <c r="G25" s="217"/>
      <c r="H25" s="245"/>
      <c r="I25" s="248"/>
      <c r="J25" s="246"/>
      <c r="K25" s="248"/>
      <c r="L25" s="246"/>
      <c r="M25" s="248"/>
      <c r="N25" s="246"/>
      <c r="O25" s="248"/>
      <c r="P25" s="246"/>
      <c r="Q25" s="248"/>
      <c r="R25" s="246"/>
      <c r="S25" s="248"/>
      <c r="T25" s="246"/>
      <c r="U25" s="248"/>
      <c r="V25" s="246"/>
      <c r="W25" s="248"/>
      <c r="X25" s="246"/>
      <c r="Y25" s="248"/>
      <c r="Z25" s="246"/>
      <c r="AA25" s="248"/>
      <c r="AB25" s="246"/>
      <c r="AC25" s="248"/>
      <c r="AD25" s="246"/>
      <c r="AE25" s="248"/>
      <c r="AF25" s="252"/>
      <c r="AG25" s="160">
        <f t="shared" si="6"/>
        <v>0</v>
      </c>
      <c r="AH25" s="161"/>
      <c r="AI25" s="177"/>
      <c r="AJ25" s="34"/>
      <c r="AK25" s="23"/>
      <c r="AL25" s="53">
        <v>8</v>
      </c>
      <c r="AM25" s="219" t="s">
        <v>62</v>
      </c>
      <c r="AN25" s="200"/>
      <c r="AO25" s="200"/>
      <c r="AP25" s="200"/>
      <c r="AQ25" s="200"/>
      <c r="AR25" s="200"/>
      <c r="AS25" s="200"/>
      <c r="AT25" s="200"/>
      <c r="AU25" s="200"/>
      <c r="AV25" s="200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8"/>
      <c r="BH25" s="138"/>
      <c r="BI25" s="139"/>
      <c r="BJ25" s="54"/>
      <c r="BK25" s="159"/>
      <c r="BL25" s="139"/>
      <c r="BM25" s="29"/>
      <c r="BN25" s="159"/>
      <c r="BO25" s="139"/>
      <c r="BP25" s="52" t="s">
        <v>25</v>
      </c>
      <c r="BQ25" s="250">
        <f>BQ21+BQ22</f>
        <v>548268</v>
      </c>
      <c r="BR25" s="250"/>
      <c r="BS25" s="139"/>
      <c r="BT25" s="7"/>
    </row>
    <row r="26" spans="1:72">
      <c r="A26" s="231"/>
      <c r="B26" s="231"/>
      <c r="C26" s="231"/>
      <c r="D26" s="232" t="s">
        <v>63</v>
      </c>
      <c r="E26" s="232"/>
      <c r="F26" s="127"/>
      <c r="G26" s="217"/>
      <c r="H26" s="218"/>
      <c r="I26" s="252">
        <v>0</v>
      </c>
      <c r="J26" s="246"/>
      <c r="K26" s="248"/>
      <c r="L26" s="246"/>
      <c r="M26" s="248"/>
      <c r="N26" s="246"/>
      <c r="O26" s="248"/>
      <c r="P26" s="246"/>
      <c r="Q26" s="248"/>
      <c r="R26" s="246"/>
      <c r="S26" s="247"/>
      <c r="T26" s="247"/>
      <c r="U26" s="248"/>
      <c r="V26" s="246"/>
      <c r="W26" s="248"/>
      <c r="X26" s="246"/>
      <c r="Y26" s="248"/>
      <c r="Z26" s="246"/>
      <c r="AA26" s="248"/>
      <c r="AB26" s="246"/>
      <c r="AC26" s="248"/>
      <c r="AD26" s="246"/>
      <c r="AE26" s="248"/>
      <c r="AF26" s="246"/>
      <c r="AG26" s="160">
        <f t="shared" ref="AG26:AG32" si="7">SUM(G26:AF26)</f>
        <v>0</v>
      </c>
      <c r="AH26" s="161"/>
      <c r="AI26" s="177"/>
      <c r="AJ26" s="34"/>
      <c r="AK26" s="23"/>
      <c r="AL26" s="64">
        <v>9</v>
      </c>
      <c r="AM26" s="170" t="s">
        <v>64</v>
      </c>
      <c r="AN26" s="156"/>
      <c r="AO26" s="156"/>
      <c r="AP26" s="156"/>
      <c r="AQ26" s="156"/>
      <c r="AR26" s="156"/>
      <c r="AS26" s="156"/>
      <c r="AT26" s="156"/>
      <c r="AU26" s="156"/>
      <c r="AV26" s="156"/>
      <c r="AW26" s="157"/>
      <c r="AX26" s="157"/>
      <c r="AY26" s="157"/>
      <c r="AZ26" s="157"/>
      <c r="BA26" s="157"/>
      <c r="BB26" s="157"/>
      <c r="BC26" s="157"/>
      <c r="BD26" s="157"/>
      <c r="BE26" s="157"/>
      <c r="BF26" s="157"/>
      <c r="BG26" s="157"/>
      <c r="BH26" s="157"/>
      <c r="BI26" s="158"/>
      <c r="BJ26" s="255" t="s">
        <v>65</v>
      </c>
      <c r="BK26" s="256"/>
      <c r="BL26" s="257"/>
      <c r="BM26" s="255" t="s">
        <v>66</v>
      </c>
      <c r="BN26" s="256"/>
      <c r="BO26" s="257"/>
      <c r="BP26" s="31"/>
      <c r="BQ26" s="156"/>
      <c r="BR26" s="156"/>
      <c r="BS26" s="158"/>
      <c r="BT26" s="7"/>
    </row>
    <row r="27" spans="1:72">
      <c r="A27" s="231"/>
      <c r="B27" s="231"/>
      <c r="C27" s="231"/>
      <c r="D27" s="232" t="s">
        <v>67</v>
      </c>
      <c r="E27" s="232"/>
      <c r="F27" s="232"/>
      <c r="G27" s="217"/>
      <c r="H27" s="218"/>
      <c r="I27" s="248">
        <f>(I18-G18)*3</f>
        <v>0</v>
      </c>
      <c r="J27" s="246"/>
      <c r="K27" s="247"/>
      <c r="L27" s="247"/>
      <c r="M27" s="248"/>
      <c r="N27" s="246"/>
      <c r="O27" s="248"/>
      <c r="P27" s="246"/>
      <c r="Q27" s="248"/>
      <c r="R27" s="246"/>
      <c r="S27" s="191">
        <v>0</v>
      </c>
      <c r="T27" s="192"/>
      <c r="U27" s="191">
        <v>0</v>
      </c>
      <c r="V27" s="192"/>
      <c r="W27" s="252"/>
      <c r="X27" s="246"/>
      <c r="Y27" s="248"/>
      <c r="Z27" s="246"/>
      <c r="AA27" s="248"/>
      <c r="AB27" s="246"/>
      <c r="AC27" s="248"/>
      <c r="AD27" s="246"/>
      <c r="AE27" s="248"/>
      <c r="AF27" s="246"/>
      <c r="AG27" s="160">
        <f t="shared" si="7"/>
        <v>0</v>
      </c>
      <c r="AH27" s="161"/>
      <c r="AI27" s="177"/>
      <c r="AJ27" s="34"/>
      <c r="AK27" s="23"/>
      <c r="AL27" s="56"/>
      <c r="AM27" s="35" t="s">
        <v>68</v>
      </c>
      <c r="AN27" s="251" t="s">
        <v>69</v>
      </c>
      <c r="AO27" s="251"/>
      <c r="AP27" s="251"/>
      <c r="AQ27" s="251"/>
      <c r="AR27" s="251"/>
      <c r="AS27" s="251"/>
      <c r="AT27" s="251"/>
      <c r="AU27" s="251"/>
      <c r="AV27" s="251"/>
      <c r="AW27" s="175"/>
      <c r="AX27" s="175"/>
      <c r="AY27" s="175"/>
      <c r="AZ27" s="175"/>
      <c r="BA27" s="175"/>
      <c r="BB27" s="175"/>
      <c r="BC27" s="175"/>
      <c r="BD27" s="175"/>
      <c r="BE27" s="175"/>
      <c r="BF27" s="175"/>
      <c r="BG27" s="175"/>
      <c r="BH27" s="175"/>
      <c r="BI27" s="92"/>
      <c r="BJ27" s="258"/>
      <c r="BK27" s="259"/>
      <c r="BL27" s="260"/>
      <c r="BM27" s="258"/>
      <c r="BN27" s="259"/>
      <c r="BO27" s="260"/>
      <c r="BP27" s="35"/>
      <c r="BQ27" s="161"/>
      <c r="BR27" s="161"/>
      <c r="BS27" s="92"/>
      <c r="BT27" s="7"/>
    </row>
    <row r="28" spans="1:72">
      <c r="A28" s="231"/>
      <c r="B28" s="231"/>
      <c r="C28" s="231"/>
      <c r="D28" s="232"/>
      <c r="E28" s="232"/>
      <c r="F28" s="232"/>
      <c r="G28" s="217"/>
      <c r="H28" s="218"/>
      <c r="I28" s="248"/>
      <c r="J28" s="246"/>
      <c r="K28" s="248"/>
      <c r="L28" s="246"/>
      <c r="M28" s="248"/>
      <c r="N28" s="246"/>
      <c r="O28" s="248"/>
      <c r="P28" s="246"/>
      <c r="Q28" s="248"/>
      <c r="R28" s="246"/>
      <c r="S28" s="248"/>
      <c r="T28" s="246"/>
      <c r="U28" s="253"/>
      <c r="V28" s="254"/>
      <c r="W28" s="248"/>
      <c r="X28" s="246"/>
      <c r="Y28" s="248"/>
      <c r="Z28" s="246"/>
      <c r="AA28" s="248"/>
      <c r="AB28" s="246"/>
      <c r="AC28" s="248"/>
      <c r="AD28" s="246"/>
      <c r="AE28" s="248"/>
      <c r="AF28" s="252"/>
      <c r="AG28" s="160">
        <f t="shared" si="7"/>
        <v>0</v>
      </c>
      <c r="AH28" s="161"/>
      <c r="AI28" s="177"/>
      <c r="AJ28" s="34"/>
      <c r="AK28" s="23"/>
      <c r="AL28" s="56"/>
      <c r="AM28" s="3"/>
      <c r="AN28" s="40" t="s">
        <v>31</v>
      </c>
      <c r="AO28" s="161" t="s">
        <v>70</v>
      </c>
      <c r="AP28" s="161"/>
      <c r="AQ28" s="161"/>
      <c r="AR28" s="161"/>
      <c r="AS28" s="161"/>
      <c r="AT28" s="161"/>
      <c r="AU28" s="161"/>
      <c r="AV28" s="161"/>
      <c r="AW28" s="161"/>
      <c r="AX28" s="227"/>
      <c r="AY28" s="227"/>
      <c r="AZ28" s="227"/>
      <c r="BA28" s="227"/>
      <c r="BB28" s="227"/>
      <c r="BC28" s="227"/>
      <c r="BD28" s="227"/>
      <c r="BE28" s="227"/>
      <c r="BF28" s="227"/>
      <c r="BG28" s="227"/>
      <c r="BH28" s="227"/>
      <c r="BI28" s="92"/>
      <c r="BJ28" s="35"/>
      <c r="BK28" s="161"/>
      <c r="BL28" s="92"/>
      <c r="BM28" s="35"/>
      <c r="BN28" s="161"/>
      <c r="BO28" s="92"/>
      <c r="BP28" s="35"/>
      <c r="BQ28" s="161"/>
      <c r="BR28" s="161"/>
      <c r="BS28" s="92"/>
      <c r="BT28" s="7"/>
    </row>
    <row r="29" spans="1:72">
      <c r="A29" s="231"/>
      <c r="B29" s="231"/>
      <c r="C29" s="231"/>
      <c r="D29" s="232" t="s">
        <v>23</v>
      </c>
      <c r="E29" s="232"/>
      <c r="F29" s="232"/>
      <c r="G29" s="261">
        <f>SUM(G23:H28)</f>
        <v>0</v>
      </c>
      <c r="H29" s="261"/>
      <c r="I29" s="261">
        <f>SUM(I23:J28)</f>
        <v>0</v>
      </c>
      <c r="J29" s="261"/>
      <c r="K29" s="261">
        <f t="shared" ref="K29" si="8">SUM(K23:L28)</f>
        <v>0</v>
      </c>
      <c r="L29" s="261"/>
      <c r="M29" s="261">
        <f t="shared" ref="M29" si="9">SUM(M23:N28)</f>
        <v>0</v>
      </c>
      <c r="N29" s="261"/>
      <c r="O29" s="261">
        <f t="shared" ref="O29" si="10">SUM(O23:P28)</f>
        <v>0</v>
      </c>
      <c r="P29" s="261"/>
      <c r="Q29" s="261">
        <f t="shared" ref="Q29" si="11">SUM(Q23:R28)</f>
        <v>0</v>
      </c>
      <c r="R29" s="261"/>
      <c r="S29" s="261">
        <f t="shared" ref="S29:U29" si="12">SUM(S23:T28)</f>
        <v>0</v>
      </c>
      <c r="T29" s="261"/>
      <c r="U29" s="261">
        <f t="shared" si="12"/>
        <v>0</v>
      </c>
      <c r="V29" s="261"/>
      <c r="W29" s="261">
        <f t="shared" ref="W29" si="13">SUM(W23:X28)</f>
        <v>0</v>
      </c>
      <c r="X29" s="261"/>
      <c r="Y29" s="261">
        <f t="shared" ref="Y29" si="14">SUM(Y23:Z28)</f>
        <v>0</v>
      </c>
      <c r="Z29" s="261"/>
      <c r="AA29" s="261">
        <f t="shared" ref="AA29" si="15">SUM(AA23:AB28)</f>
        <v>0</v>
      </c>
      <c r="AB29" s="261"/>
      <c r="AC29" s="261">
        <f t="shared" ref="AC29" si="16">SUM(AC23:AD28)</f>
        <v>0</v>
      </c>
      <c r="AD29" s="261"/>
      <c r="AE29" s="261">
        <f t="shared" ref="AE29" si="17">SUM(AE23:AF28)</f>
        <v>0</v>
      </c>
      <c r="AF29" s="261"/>
      <c r="AG29" s="104">
        <f t="shared" si="7"/>
        <v>0</v>
      </c>
      <c r="AH29" s="104"/>
      <c r="AI29" s="104"/>
      <c r="AJ29" s="34"/>
      <c r="AK29" s="23"/>
      <c r="AL29" s="56"/>
      <c r="AM29" s="3"/>
      <c r="AN29" s="3"/>
      <c r="AO29" s="40" t="s">
        <v>71</v>
      </c>
      <c r="AP29" s="161" t="str">
        <f t="shared" ref="AP29:AP34" si="18">IF(OR(B50="",B50=0),"",B50)</f>
        <v>GPF Contribution</v>
      </c>
      <c r="AQ29" s="161"/>
      <c r="AR29" s="161"/>
      <c r="AS29" s="161"/>
      <c r="AT29" s="161"/>
      <c r="AU29" s="161"/>
      <c r="AV29" s="227"/>
      <c r="AW29" s="227"/>
      <c r="AX29" s="227"/>
      <c r="AY29" s="227"/>
      <c r="AZ29" s="227"/>
      <c r="BA29" s="227"/>
      <c r="BB29" s="227"/>
      <c r="BC29" s="227"/>
      <c r="BD29" s="227"/>
      <c r="BE29" s="227"/>
      <c r="BF29" s="227"/>
      <c r="BG29" s="43" t="s">
        <v>25</v>
      </c>
      <c r="BH29" s="187">
        <f t="shared" ref="BH29:BH34" si="19">AG50</f>
        <v>0</v>
      </c>
      <c r="BI29" s="195"/>
      <c r="BJ29" s="35"/>
      <c r="BK29" s="161"/>
      <c r="BL29" s="92"/>
      <c r="BM29" s="35"/>
      <c r="BN29" s="161"/>
      <c r="BO29" s="92"/>
      <c r="BP29" s="35"/>
      <c r="BQ29" s="161"/>
      <c r="BR29" s="161"/>
      <c r="BS29" s="92"/>
      <c r="BT29" s="7"/>
    </row>
    <row r="30" spans="1:72">
      <c r="A30" s="186" t="str">
        <f>IF(OR(S5="Y",S5="y"),"Govt's cont 2 NPS on Arrs","")</f>
        <v>Govt's cont 2 NPS on Arrs</v>
      </c>
      <c r="B30" s="226"/>
      <c r="C30" s="226"/>
      <c r="D30" s="226"/>
      <c r="E30" s="226"/>
      <c r="F30" s="195"/>
      <c r="G30" s="264" t="str">
        <f>IF(OR($S$91="Y",$S$91="y"),ROUND((G23+G24)*10%,0)," ")</f>
        <v xml:space="preserve"> </v>
      </c>
      <c r="H30" s="264"/>
      <c r="I30" s="263">
        <f>I24/10</f>
        <v>0</v>
      </c>
      <c r="J30" s="263"/>
      <c r="K30" s="263"/>
      <c r="L30" s="263"/>
      <c r="M30" s="263"/>
      <c r="N30" s="263"/>
      <c r="O30" s="263"/>
      <c r="P30" s="263"/>
      <c r="Q30" s="263"/>
      <c r="R30" s="263"/>
      <c r="S30" s="263">
        <v>0</v>
      </c>
      <c r="T30" s="263"/>
      <c r="U30" s="263">
        <f>U24/10</f>
        <v>0</v>
      </c>
      <c r="V30" s="263"/>
      <c r="W30" s="264" t="str">
        <f t="shared" ref="W30" si="20">IF(OR($S$91="Y",$S$91="y"),ROUND((W23+W24)*10%,0)," ")</f>
        <v xml:space="preserve"> </v>
      </c>
      <c r="X30" s="264"/>
      <c r="Y30" s="264" t="str">
        <f t="shared" ref="Y30" si="21">IF(OR($S$91="Y",$S$91="y"),ROUND((Y23+Y24)*10%,0)," ")</f>
        <v xml:space="preserve"> </v>
      </c>
      <c r="Z30" s="264"/>
      <c r="AA30" s="264" t="str">
        <f t="shared" ref="AA30" si="22">IF(OR($S$91="Y",$S$91="y"),ROUND((AA23+AA24)*10%,0)," ")</f>
        <v xml:space="preserve"> </v>
      </c>
      <c r="AB30" s="264"/>
      <c r="AC30" s="264" t="str">
        <f t="shared" ref="AC30" si="23">IF(OR($S$91="Y",$S$91="y"),ROUND((AC23+AC24)*10%,0)," ")</f>
        <v xml:space="preserve"> </v>
      </c>
      <c r="AD30" s="264"/>
      <c r="AE30" s="264" t="str">
        <f t="shared" ref="AE30" si="24">IF(OR($S$91="Y",$S$91="y"),ROUND((AE23+AE24)*10%,0)," ")</f>
        <v xml:space="preserve"> </v>
      </c>
      <c r="AF30" s="264"/>
      <c r="AG30" s="262">
        <f t="shared" si="7"/>
        <v>0</v>
      </c>
      <c r="AH30" s="262"/>
      <c r="AI30" s="262"/>
      <c r="AJ30" s="34"/>
      <c r="AK30" s="23"/>
      <c r="AL30" s="56"/>
      <c r="AM30" s="3"/>
      <c r="AN30" s="3"/>
      <c r="AO30" s="40" t="s">
        <v>72</v>
      </c>
      <c r="AP30" s="161" t="str">
        <f t="shared" si="18"/>
        <v>CGEGIS</v>
      </c>
      <c r="AQ30" s="161"/>
      <c r="AR30" s="161"/>
      <c r="AS30" s="161"/>
      <c r="AT30" s="161"/>
      <c r="AU30" s="161"/>
      <c r="AV30" s="227"/>
      <c r="AW30" s="227"/>
      <c r="AX30" s="227"/>
      <c r="AY30" s="227"/>
      <c r="AZ30" s="227"/>
      <c r="BA30" s="227"/>
      <c r="BB30" s="227"/>
      <c r="BC30" s="227"/>
      <c r="BD30" s="227"/>
      <c r="BE30" s="227"/>
      <c r="BF30" s="227"/>
      <c r="BG30" s="43" t="s">
        <v>25</v>
      </c>
      <c r="BH30" s="187">
        <f t="shared" si="19"/>
        <v>0</v>
      </c>
      <c r="BI30" s="195"/>
      <c r="BJ30" s="35"/>
      <c r="BK30" s="161"/>
      <c r="BL30" s="92"/>
      <c r="BM30" s="35"/>
      <c r="BN30" s="161"/>
      <c r="BO30" s="92"/>
      <c r="BP30" s="35"/>
      <c r="BQ30" s="161"/>
      <c r="BR30" s="161"/>
      <c r="BS30" s="92"/>
      <c r="BT30" s="7"/>
    </row>
    <row r="31" spans="1:72">
      <c r="A31" s="160" t="str">
        <f>CONCATENATE("Bonus for ",AD2-1,"-",AD2)</f>
        <v>Bonus for 2018-2019</v>
      </c>
      <c r="B31" s="161"/>
      <c r="C31" s="161"/>
      <c r="D31" s="161"/>
      <c r="E31" s="161"/>
      <c r="F31" s="177"/>
      <c r="G31" s="217"/>
      <c r="H31" s="218"/>
      <c r="I31" s="178"/>
      <c r="J31" s="179"/>
      <c r="K31" s="178"/>
      <c r="L31" s="179"/>
      <c r="M31" s="178"/>
      <c r="N31" s="179"/>
      <c r="O31" s="178"/>
      <c r="P31" s="179"/>
      <c r="Q31" s="178"/>
      <c r="R31" s="179"/>
      <c r="S31" s="178"/>
      <c r="T31" s="179"/>
      <c r="U31" s="178">
        <v>0</v>
      </c>
      <c r="V31" s="179"/>
      <c r="W31" s="178"/>
      <c r="X31" s="179"/>
      <c r="Y31" s="178"/>
      <c r="Z31" s="179"/>
      <c r="AA31" s="178"/>
      <c r="AB31" s="179"/>
      <c r="AC31" s="178"/>
      <c r="AD31" s="179"/>
      <c r="AE31" s="178"/>
      <c r="AF31" s="268"/>
      <c r="AG31" s="170">
        <f t="shared" si="7"/>
        <v>0</v>
      </c>
      <c r="AH31" s="156"/>
      <c r="AI31" s="171"/>
      <c r="AJ31" s="34"/>
      <c r="AK31" s="23"/>
      <c r="AL31" s="56"/>
      <c r="AM31" s="3"/>
      <c r="AN31" s="3"/>
      <c r="AO31" s="40" t="s">
        <v>73</v>
      </c>
      <c r="AP31" s="161" t="str">
        <f t="shared" si="18"/>
        <v>HBA Repayment</v>
      </c>
      <c r="AQ31" s="161"/>
      <c r="AR31" s="161"/>
      <c r="AS31" s="161"/>
      <c r="AT31" s="161"/>
      <c r="AU31" s="161"/>
      <c r="AV31" s="227"/>
      <c r="AW31" s="227"/>
      <c r="AX31" s="227"/>
      <c r="AY31" s="227"/>
      <c r="AZ31" s="227"/>
      <c r="BA31" s="227"/>
      <c r="BB31" s="227"/>
      <c r="BC31" s="227"/>
      <c r="BD31" s="227"/>
      <c r="BE31" s="227"/>
      <c r="BF31" s="227"/>
      <c r="BG31" s="43" t="s">
        <v>25</v>
      </c>
      <c r="BH31" s="187">
        <f t="shared" si="19"/>
        <v>0</v>
      </c>
      <c r="BI31" s="195"/>
      <c r="BJ31" s="35"/>
      <c r="BK31" s="161"/>
      <c r="BL31" s="92"/>
      <c r="BM31" s="35"/>
      <c r="BN31" s="161"/>
      <c r="BO31" s="92"/>
      <c r="BP31" s="35"/>
      <c r="BQ31" s="161"/>
      <c r="BR31" s="161"/>
      <c r="BS31" s="92"/>
      <c r="BT31" s="7"/>
    </row>
    <row r="32" spans="1:72">
      <c r="A32" s="265" t="s">
        <v>74</v>
      </c>
      <c r="B32" s="266"/>
      <c r="C32" s="266"/>
      <c r="D32" s="266"/>
      <c r="E32" s="266"/>
      <c r="F32" s="267"/>
      <c r="G32" s="217"/>
      <c r="H32" s="218"/>
      <c r="I32" s="178"/>
      <c r="J32" s="179"/>
      <c r="K32" s="178"/>
      <c r="L32" s="179"/>
      <c r="M32" s="178"/>
      <c r="N32" s="179"/>
      <c r="O32" s="178"/>
      <c r="P32" s="179"/>
      <c r="Q32" s="178"/>
      <c r="R32" s="179"/>
      <c r="S32" s="178"/>
      <c r="T32" s="179"/>
      <c r="U32" s="178"/>
      <c r="V32" s="179"/>
      <c r="W32" s="178"/>
      <c r="X32" s="179"/>
      <c r="Y32" s="178"/>
      <c r="Z32" s="179"/>
      <c r="AA32" s="178"/>
      <c r="AB32" s="179"/>
      <c r="AC32" s="178"/>
      <c r="AD32" s="179"/>
      <c r="AE32" s="178"/>
      <c r="AF32" s="179"/>
      <c r="AG32" s="160">
        <f t="shared" si="7"/>
        <v>0</v>
      </c>
      <c r="AH32" s="161"/>
      <c r="AI32" s="177"/>
      <c r="AJ32" s="34"/>
      <c r="AK32" s="23"/>
      <c r="AL32" s="56"/>
      <c r="AM32" s="3"/>
      <c r="AN32" s="3"/>
      <c r="AO32" s="40" t="s">
        <v>75</v>
      </c>
      <c r="AP32" s="161" t="str">
        <f t="shared" si="18"/>
        <v>PLI/LIC/MF</v>
      </c>
      <c r="AQ32" s="161"/>
      <c r="AR32" s="161"/>
      <c r="AS32" s="161"/>
      <c r="AT32" s="161"/>
      <c r="AU32" s="161"/>
      <c r="AV32" s="227"/>
      <c r="AW32" s="227"/>
      <c r="AX32" s="227"/>
      <c r="AY32" s="227"/>
      <c r="AZ32" s="227"/>
      <c r="BA32" s="227"/>
      <c r="BB32" s="227"/>
      <c r="BC32" s="227"/>
      <c r="BD32" s="227"/>
      <c r="BE32" s="227"/>
      <c r="BF32" s="227"/>
      <c r="BG32" s="43" t="s">
        <v>25</v>
      </c>
      <c r="BH32" s="187">
        <f t="shared" si="19"/>
        <v>0</v>
      </c>
      <c r="BI32" s="195"/>
      <c r="BJ32" s="35"/>
      <c r="BK32" s="161"/>
      <c r="BL32" s="92"/>
      <c r="BM32" s="35"/>
      <c r="BN32" s="161"/>
      <c r="BO32" s="92"/>
      <c r="BP32" s="35"/>
      <c r="BQ32" s="177"/>
      <c r="BR32" s="161"/>
      <c r="BS32" s="92"/>
      <c r="BT32" s="7"/>
    </row>
    <row r="33" spans="1:72">
      <c r="A33" s="265" t="s">
        <v>76</v>
      </c>
      <c r="B33" s="266"/>
      <c r="C33" s="266"/>
      <c r="D33" s="266"/>
      <c r="E33" s="266"/>
      <c r="F33" s="267"/>
      <c r="G33" s="217"/>
      <c r="H33" s="218"/>
      <c r="I33" s="178"/>
      <c r="J33" s="179"/>
      <c r="K33" s="178"/>
      <c r="L33" s="179"/>
      <c r="M33" s="178"/>
      <c r="N33" s="179"/>
      <c r="O33" s="178"/>
      <c r="P33" s="179"/>
      <c r="Q33" s="178"/>
      <c r="R33" s="179"/>
      <c r="S33" s="178"/>
      <c r="T33" s="179"/>
      <c r="U33" s="178"/>
      <c r="V33" s="179"/>
      <c r="W33" s="178"/>
      <c r="X33" s="179"/>
      <c r="Y33" s="178"/>
      <c r="Z33" s="179"/>
      <c r="AA33" s="178"/>
      <c r="AB33" s="179"/>
      <c r="AC33" s="178"/>
      <c r="AD33" s="179"/>
      <c r="AE33" s="178"/>
      <c r="AF33" s="179"/>
      <c r="AG33" s="160">
        <f t="shared" ref="AG33:AG37" si="25">SUM(G33:AF33)</f>
        <v>0</v>
      </c>
      <c r="AH33" s="161"/>
      <c r="AI33" s="177"/>
      <c r="AJ33" s="34"/>
      <c r="AK33" s="23"/>
      <c r="AL33" s="65"/>
      <c r="AM33" s="3"/>
      <c r="AN33" s="3"/>
      <c r="AO33" s="40" t="s">
        <v>77</v>
      </c>
      <c r="AP33" s="161" t="str">
        <f t="shared" si="18"/>
        <v>Tuition Fees paid</v>
      </c>
      <c r="AQ33" s="161"/>
      <c r="AR33" s="161"/>
      <c r="AS33" s="161"/>
      <c r="AT33" s="161"/>
      <c r="AU33" s="161"/>
      <c r="AV33" s="227"/>
      <c r="AW33" s="227"/>
      <c r="AX33" s="227"/>
      <c r="AY33" s="227"/>
      <c r="AZ33" s="227"/>
      <c r="BA33" s="227"/>
      <c r="BB33" s="227"/>
      <c r="BC33" s="227"/>
      <c r="BD33" s="227"/>
      <c r="BE33" s="227"/>
      <c r="BF33" s="227"/>
      <c r="BG33" s="43" t="s">
        <v>25</v>
      </c>
      <c r="BH33" s="187">
        <f t="shared" si="19"/>
        <v>0</v>
      </c>
      <c r="BI33" s="195"/>
      <c r="BJ33" s="35"/>
      <c r="BK33" s="161"/>
      <c r="BL33" s="92"/>
      <c r="BM33" s="35"/>
      <c r="BN33" s="161"/>
      <c r="BO33" s="92"/>
      <c r="BP33" s="35"/>
      <c r="BQ33" s="177"/>
      <c r="BR33" s="161"/>
      <c r="BS33" s="92"/>
      <c r="BT33" s="7"/>
    </row>
    <row r="34" spans="1:72">
      <c r="A34" s="265" t="s">
        <v>78</v>
      </c>
      <c r="B34" s="266"/>
      <c r="C34" s="266"/>
      <c r="D34" s="266"/>
      <c r="E34" s="266"/>
      <c r="F34" s="267"/>
      <c r="G34" s="217"/>
      <c r="H34" s="218"/>
      <c r="I34" s="178"/>
      <c r="J34" s="179"/>
      <c r="K34" s="178"/>
      <c r="L34" s="179"/>
      <c r="M34" s="178"/>
      <c r="N34" s="179"/>
      <c r="O34" s="178"/>
      <c r="P34" s="179"/>
      <c r="Q34" s="178"/>
      <c r="R34" s="179"/>
      <c r="S34" s="178"/>
      <c r="T34" s="179"/>
      <c r="U34" s="178"/>
      <c r="V34" s="179"/>
      <c r="W34" s="178"/>
      <c r="X34" s="179"/>
      <c r="Y34" s="178"/>
      <c r="Z34" s="179"/>
      <c r="AA34" s="178"/>
      <c r="AB34" s="179"/>
      <c r="AC34" s="178"/>
      <c r="AD34" s="179"/>
      <c r="AE34" s="178"/>
      <c r="AF34" s="179"/>
      <c r="AG34" s="160">
        <f t="shared" si="25"/>
        <v>0</v>
      </c>
      <c r="AH34" s="161"/>
      <c r="AI34" s="177"/>
      <c r="AJ34" s="34"/>
      <c r="AK34" s="23"/>
      <c r="AL34" s="65"/>
      <c r="AM34" s="3"/>
      <c r="AN34" s="3"/>
      <c r="AO34" s="40" t="s">
        <v>79</v>
      </c>
      <c r="AP34" s="269" t="str">
        <f t="shared" si="18"/>
        <v>PPF</v>
      </c>
      <c r="AQ34" s="269"/>
      <c r="AR34" s="269"/>
      <c r="AS34" s="269"/>
      <c r="AT34" s="269"/>
      <c r="AU34" s="269"/>
      <c r="AV34" s="269"/>
      <c r="AW34" s="40"/>
      <c r="AX34" s="270" t="s">
        <v>80</v>
      </c>
      <c r="AY34" s="270"/>
      <c r="AZ34" s="270"/>
      <c r="BA34" s="270"/>
      <c r="BB34" s="270"/>
      <c r="BC34" s="270"/>
      <c r="BD34" s="271">
        <v>150000</v>
      </c>
      <c r="BE34" s="271"/>
      <c r="BF34" s="271"/>
      <c r="BG34" s="43" t="s">
        <v>25</v>
      </c>
      <c r="BH34" s="187">
        <f t="shared" si="19"/>
        <v>150000</v>
      </c>
      <c r="BI34" s="195"/>
      <c r="BJ34" s="66" t="s">
        <v>25</v>
      </c>
      <c r="BK34" s="187">
        <v>150000</v>
      </c>
      <c r="BL34" s="195"/>
      <c r="BM34" s="66" t="s">
        <v>25</v>
      </c>
      <c r="BN34" s="187">
        <f>IF(BK34&gt;BD34,BD34,BK34)</f>
        <v>150000</v>
      </c>
      <c r="BO34" s="195"/>
      <c r="BP34" s="50"/>
      <c r="BQ34" s="161"/>
      <c r="BR34" s="161"/>
      <c r="BS34" s="92"/>
      <c r="BT34" s="7"/>
    </row>
    <row r="35" spans="1:72">
      <c r="A35" s="265" t="s">
        <v>81</v>
      </c>
      <c r="B35" s="266"/>
      <c r="C35" s="266"/>
      <c r="D35" s="266"/>
      <c r="E35" s="266"/>
      <c r="F35" s="267"/>
      <c r="G35" s="274">
        <v>0</v>
      </c>
      <c r="H35" s="275"/>
      <c r="I35" s="178"/>
      <c r="J35" s="179"/>
      <c r="K35" s="178"/>
      <c r="L35" s="179"/>
      <c r="M35" s="178"/>
      <c r="N35" s="179"/>
      <c r="O35" s="178"/>
      <c r="P35" s="179"/>
      <c r="Q35" s="178"/>
      <c r="R35" s="179"/>
      <c r="S35" s="178"/>
      <c r="T35" s="179"/>
      <c r="U35" s="178"/>
      <c r="V35" s="179"/>
      <c r="W35" s="178"/>
      <c r="X35" s="179"/>
      <c r="Y35" s="178"/>
      <c r="Z35" s="179"/>
      <c r="AA35" s="178"/>
      <c r="AB35" s="179"/>
      <c r="AC35" s="178"/>
      <c r="AD35" s="179"/>
      <c r="AE35" s="178"/>
      <c r="AF35" s="179"/>
      <c r="AG35" s="160">
        <f t="shared" si="25"/>
        <v>0</v>
      </c>
      <c r="AH35" s="161"/>
      <c r="AI35" s="177"/>
      <c r="AJ35" s="34"/>
      <c r="AK35" s="23"/>
      <c r="AL35" s="65"/>
      <c r="AM35" s="3"/>
      <c r="AN35" s="11" t="s">
        <v>34</v>
      </c>
      <c r="AO35" s="161" t="s">
        <v>82</v>
      </c>
      <c r="AP35" s="161"/>
      <c r="AQ35" s="175"/>
      <c r="AR35" s="272" t="s">
        <v>83</v>
      </c>
      <c r="AS35" s="272"/>
      <c r="AT35" s="272"/>
      <c r="AU35" s="272"/>
      <c r="AV35" s="272"/>
      <c r="AW35" s="272"/>
      <c r="AX35" s="272"/>
      <c r="AY35" s="272"/>
      <c r="AZ35" s="272"/>
      <c r="BA35" s="272"/>
      <c r="BB35" s="67"/>
      <c r="BC35" s="270" t="s">
        <v>84</v>
      </c>
      <c r="BD35" s="273"/>
      <c r="BE35" s="273"/>
      <c r="BF35" s="273"/>
      <c r="BG35" s="271">
        <v>150000</v>
      </c>
      <c r="BH35" s="271"/>
      <c r="BI35" s="271"/>
      <c r="BJ35" s="68" t="s">
        <v>25</v>
      </c>
      <c r="BK35" s="200">
        <v>0</v>
      </c>
      <c r="BL35" s="139"/>
      <c r="BM35" s="68" t="s">
        <v>25</v>
      </c>
      <c r="BN35" s="187">
        <f>IF(BK35&gt;BG35,BG35,BK35)</f>
        <v>0</v>
      </c>
      <c r="BO35" s="195"/>
      <c r="BP35" s="55"/>
      <c r="BQ35" s="200"/>
      <c r="BR35" s="200"/>
      <c r="BS35" s="139"/>
      <c r="BT35" s="7"/>
    </row>
    <row r="36" spans="1:72">
      <c r="A36" s="265"/>
      <c r="B36" s="266"/>
      <c r="C36" s="266"/>
      <c r="D36" s="266"/>
      <c r="E36" s="266"/>
      <c r="F36" s="267"/>
      <c r="G36" s="217"/>
      <c r="H36" s="218"/>
      <c r="I36" s="178"/>
      <c r="J36" s="179"/>
      <c r="K36" s="178"/>
      <c r="L36" s="179"/>
      <c r="M36" s="178"/>
      <c r="N36" s="179"/>
      <c r="O36" s="178"/>
      <c r="P36" s="179"/>
      <c r="Q36" s="178"/>
      <c r="R36" s="179"/>
      <c r="S36" s="178"/>
      <c r="T36" s="179"/>
      <c r="U36" s="178"/>
      <c r="V36" s="179"/>
      <c r="W36" s="178"/>
      <c r="X36" s="179"/>
      <c r="Y36" s="178"/>
      <c r="Z36" s="179"/>
      <c r="AA36" s="178"/>
      <c r="AB36" s="179"/>
      <c r="AC36" s="178"/>
      <c r="AD36" s="179"/>
      <c r="AE36" s="178"/>
      <c r="AF36" s="179"/>
      <c r="AG36" s="160">
        <f t="shared" si="25"/>
        <v>0</v>
      </c>
      <c r="AH36" s="161"/>
      <c r="AI36" s="177"/>
      <c r="AJ36" s="34"/>
      <c r="AK36" s="23"/>
      <c r="AL36" s="65"/>
      <c r="AM36" s="3"/>
      <c r="AN36" s="11"/>
      <c r="AO36" s="279" t="s">
        <v>85</v>
      </c>
      <c r="AP36" s="279"/>
      <c r="AQ36" s="175"/>
      <c r="AR36" s="280" t="s">
        <v>86</v>
      </c>
      <c r="AS36" s="280"/>
      <c r="AT36" s="280"/>
      <c r="AU36" s="280"/>
      <c r="AV36" s="280"/>
      <c r="AW36" s="280"/>
      <c r="AX36" s="280"/>
      <c r="AY36" s="280"/>
      <c r="AZ36" s="280"/>
      <c r="BA36" s="280"/>
      <c r="BB36" s="67"/>
      <c r="BC36" s="270" t="s">
        <v>84</v>
      </c>
      <c r="BD36" s="273"/>
      <c r="BE36" s="273"/>
      <c r="BF36" s="273"/>
      <c r="BG36" s="271">
        <v>150000</v>
      </c>
      <c r="BH36" s="271"/>
      <c r="BI36" s="271"/>
      <c r="BJ36" s="68" t="s">
        <v>25</v>
      </c>
      <c r="BK36" s="200">
        <f>AG58</f>
        <v>0</v>
      </c>
      <c r="BL36" s="139"/>
      <c r="BM36" s="68" t="s">
        <v>25</v>
      </c>
      <c r="BN36" s="187">
        <f>IF(BK36&gt;BG36,BG36,BK36)</f>
        <v>0</v>
      </c>
      <c r="BO36" s="195"/>
      <c r="BP36" s="55"/>
      <c r="BQ36" s="200"/>
      <c r="BR36" s="200"/>
      <c r="BS36" s="139"/>
      <c r="BT36" s="7"/>
    </row>
    <row r="37" spans="1:72">
      <c r="A37" s="136" t="s">
        <v>87</v>
      </c>
      <c r="B37" s="137"/>
      <c r="C37" s="137"/>
      <c r="D37" s="137"/>
      <c r="E37" s="137"/>
      <c r="F37" s="276"/>
      <c r="G37" s="277">
        <f>SUM(G19,G22,G29:H36)</f>
        <v>48200</v>
      </c>
      <c r="H37" s="278"/>
      <c r="I37" s="277">
        <f>SUM(I19,I22,I29:J36)</f>
        <v>48200</v>
      </c>
      <c r="J37" s="278"/>
      <c r="K37" s="277">
        <f>SUM(K19,K22,K29:L36)</f>
        <v>48200</v>
      </c>
      <c r="L37" s="278"/>
      <c r="M37" s="277">
        <f>SUM(M19,M22,M29:N36)</f>
        <v>48200</v>
      </c>
      <c r="N37" s="278"/>
      <c r="O37" s="277">
        <f>SUM(O19,O22,O29:P36)</f>
        <v>48200</v>
      </c>
      <c r="P37" s="278"/>
      <c r="Q37" s="277">
        <f>SUM(Q19,Q22,Q29:R36)</f>
        <v>48200</v>
      </c>
      <c r="R37" s="278"/>
      <c r="S37" s="277">
        <f>SUM(S19,S22,S29:T36)</f>
        <v>48200</v>
      </c>
      <c r="T37" s="278"/>
      <c r="U37" s="277">
        <f>SUM(U19,U22,U29:V36)</f>
        <v>48200</v>
      </c>
      <c r="V37" s="278"/>
      <c r="W37" s="277">
        <f>SUM(W19,W22,W29:X36)</f>
        <v>48200</v>
      </c>
      <c r="X37" s="278"/>
      <c r="Y37" s="277">
        <f>SUM(Y19,Y22,Y29:Z36)</f>
        <v>93200</v>
      </c>
      <c r="Z37" s="278"/>
      <c r="AA37" s="277">
        <f>SUM(AA19,AA22,AA29:AB36)</f>
        <v>65200</v>
      </c>
      <c r="AB37" s="278"/>
      <c r="AC37" s="277">
        <f>SUM(AC19,AC22,AC29:AD36)</f>
        <v>65200</v>
      </c>
      <c r="AD37" s="278"/>
      <c r="AE37" s="277">
        <f>SUM(AE19,AE22,AE29:AF36)</f>
        <v>0</v>
      </c>
      <c r="AF37" s="278"/>
      <c r="AG37" s="281">
        <f t="shared" si="25"/>
        <v>657400</v>
      </c>
      <c r="AH37" s="281"/>
      <c r="AI37" s="281"/>
      <c r="AJ37" s="34"/>
      <c r="AK37" s="23"/>
      <c r="AL37" s="65"/>
      <c r="AM37" s="3"/>
      <c r="AN37" s="3"/>
      <c r="AO37" s="161" t="s">
        <v>88</v>
      </c>
      <c r="AP37" s="161"/>
      <c r="AQ37" s="175"/>
      <c r="AR37" s="272" t="s">
        <v>89</v>
      </c>
      <c r="AS37" s="272"/>
      <c r="AT37" s="272"/>
      <c r="AU37" s="272"/>
      <c r="AV37" s="272"/>
      <c r="AW37" s="272"/>
      <c r="AX37" s="272"/>
      <c r="AY37" s="272"/>
      <c r="AZ37" s="272"/>
      <c r="BA37" s="272"/>
      <c r="BB37" s="67"/>
      <c r="BC37" s="282"/>
      <c r="BD37" s="283"/>
      <c r="BE37" s="283"/>
      <c r="BF37" s="283"/>
      <c r="BG37" s="284"/>
      <c r="BH37" s="284"/>
      <c r="BI37" s="284"/>
      <c r="BJ37" s="68" t="s">
        <v>25</v>
      </c>
      <c r="BK37" s="156">
        <f>AG59</f>
        <v>0</v>
      </c>
      <c r="BL37" s="158"/>
      <c r="BM37" s="68" t="s">
        <v>25</v>
      </c>
      <c r="BN37" s="156">
        <f>AG59</f>
        <v>0</v>
      </c>
      <c r="BO37" s="158"/>
      <c r="BP37" s="3"/>
      <c r="BQ37" s="200"/>
      <c r="BR37" s="200"/>
      <c r="BS37" s="139"/>
      <c r="BT37" s="7"/>
    </row>
    <row r="38" spans="1:7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4"/>
      <c r="AK38" s="23"/>
      <c r="AL38" s="65"/>
      <c r="AM38" s="35" t="s">
        <v>90</v>
      </c>
      <c r="AN38" s="251" t="s">
        <v>91</v>
      </c>
      <c r="AO38" s="251"/>
      <c r="AP38" s="251"/>
      <c r="AQ38" s="251"/>
      <c r="AR38" s="251"/>
      <c r="AS38" s="251"/>
      <c r="AT38" s="251"/>
      <c r="AU38" s="175"/>
      <c r="AV38" s="175"/>
      <c r="AW38" s="175"/>
      <c r="AX38" s="175"/>
      <c r="AY38" s="175"/>
      <c r="AZ38" s="175"/>
      <c r="BA38" s="175"/>
      <c r="BB38" s="175"/>
      <c r="BC38" s="175"/>
      <c r="BD38" s="175"/>
      <c r="BE38" s="175"/>
      <c r="BF38" s="175"/>
      <c r="BG38" s="175"/>
      <c r="BH38" s="175"/>
      <c r="BI38" s="92"/>
      <c r="BJ38" s="69"/>
      <c r="BK38" s="156"/>
      <c r="BL38" s="158"/>
      <c r="BM38" s="69"/>
      <c r="BN38" s="156"/>
      <c r="BO38" s="158"/>
      <c r="BP38" s="33"/>
      <c r="BQ38" s="156"/>
      <c r="BR38" s="156"/>
      <c r="BS38" s="158"/>
      <c r="BT38" s="7"/>
    </row>
    <row r="39" spans="1:72">
      <c r="A39" s="136" t="s">
        <v>92</v>
      </c>
      <c r="B39" s="137"/>
      <c r="C39" s="137"/>
      <c r="D39" s="137"/>
      <c r="E39" s="137"/>
      <c r="F39" s="276"/>
      <c r="G39" s="287"/>
      <c r="H39" s="288"/>
      <c r="I39" s="287"/>
      <c r="J39" s="288"/>
      <c r="K39" s="287"/>
      <c r="L39" s="288"/>
      <c r="M39" s="287"/>
      <c r="N39" s="288"/>
      <c r="O39" s="287"/>
      <c r="P39" s="288"/>
      <c r="Q39" s="287"/>
      <c r="R39" s="288"/>
      <c r="S39" s="287"/>
      <c r="T39" s="288"/>
      <c r="U39" s="287"/>
      <c r="V39" s="288"/>
      <c r="W39" s="287"/>
      <c r="X39" s="288"/>
      <c r="Y39" s="287"/>
      <c r="Z39" s="288"/>
      <c r="AA39" s="287"/>
      <c r="AB39" s="288"/>
      <c r="AC39" s="287"/>
      <c r="AD39" s="288"/>
      <c r="AE39" s="287"/>
      <c r="AF39" s="288"/>
      <c r="AG39" s="289"/>
      <c r="AH39" s="290"/>
      <c r="AI39" s="291"/>
      <c r="AJ39" s="34"/>
      <c r="AK39" s="23"/>
      <c r="AL39" s="65"/>
      <c r="AM39" s="3"/>
      <c r="AN39" s="70" t="s">
        <v>31</v>
      </c>
      <c r="AO39" s="176" t="s">
        <v>93</v>
      </c>
      <c r="AP39" s="227"/>
      <c r="AQ39" s="227"/>
      <c r="AR39" s="292" t="s">
        <v>94</v>
      </c>
      <c r="AS39" s="292"/>
      <c r="AT39" s="292"/>
      <c r="AU39" s="292"/>
      <c r="AV39" s="292"/>
      <c r="AW39" s="292"/>
      <c r="AX39" s="292"/>
      <c r="AY39" s="292"/>
      <c r="AZ39" s="292"/>
      <c r="BA39" s="292"/>
      <c r="BB39" s="67"/>
      <c r="BC39" s="270" t="s">
        <v>84</v>
      </c>
      <c r="BD39" s="273"/>
      <c r="BE39" s="273"/>
      <c r="BF39" s="273"/>
      <c r="BG39" s="271">
        <v>50000</v>
      </c>
      <c r="BH39" s="271"/>
      <c r="BI39" s="271"/>
      <c r="BJ39" s="49" t="s">
        <v>25</v>
      </c>
      <c r="BK39" s="225">
        <v>0</v>
      </c>
      <c r="BL39" s="195"/>
      <c r="BM39" s="49">
        <v>0</v>
      </c>
      <c r="BN39" s="225">
        <v>0</v>
      </c>
      <c r="BO39" s="195"/>
      <c r="BP39" s="57"/>
      <c r="BQ39" s="176"/>
      <c r="BR39" s="176"/>
      <c r="BS39" s="92"/>
      <c r="BT39" s="7"/>
    </row>
    <row r="40" spans="1:72">
      <c r="A40" s="285" t="s">
        <v>95</v>
      </c>
      <c r="B40" s="200"/>
      <c r="C40" s="200"/>
      <c r="D40" s="200"/>
      <c r="E40" s="200"/>
      <c r="F40" s="286"/>
      <c r="G40" s="287">
        <v>8500</v>
      </c>
      <c r="H40" s="288"/>
      <c r="I40" s="287">
        <v>8500</v>
      </c>
      <c r="J40" s="288"/>
      <c r="K40" s="287">
        <v>8500</v>
      </c>
      <c r="L40" s="288"/>
      <c r="M40" s="287">
        <v>8500</v>
      </c>
      <c r="N40" s="288"/>
      <c r="O40" s="287">
        <v>8500</v>
      </c>
      <c r="P40" s="288"/>
      <c r="Q40" s="287">
        <v>8500</v>
      </c>
      <c r="R40" s="288"/>
      <c r="S40" s="287">
        <v>8500</v>
      </c>
      <c r="T40" s="288"/>
      <c r="U40" s="287">
        <v>8500</v>
      </c>
      <c r="V40" s="288"/>
      <c r="W40" s="287">
        <v>8500</v>
      </c>
      <c r="X40" s="288"/>
      <c r="Y40" s="287">
        <v>8500</v>
      </c>
      <c r="Z40" s="288"/>
      <c r="AA40" s="287">
        <v>8500</v>
      </c>
      <c r="AB40" s="288"/>
      <c r="AC40" s="287">
        <v>8500</v>
      </c>
      <c r="AD40" s="288"/>
      <c r="AE40" s="287">
        <v>0</v>
      </c>
      <c r="AF40" s="288"/>
      <c r="AG40" s="136">
        <f>SUM(G40:AF40)</f>
        <v>102000</v>
      </c>
      <c r="AH40" s="137"/>
      <c r="AI40" s="276"/>
      <c r="AJ40" s="34"/>
      <c r="AK40" s="23"/>
      <c r="AL40" s="65"/>
      <c r="AM40" s="3"/>
      <c r="AN40" s="70" t="s">
        <v>34</v>
      </c>
      <c r="AO40" s="292" t="s">
        <v>96</v>
      </c>
      <c r="AP40" s="292"/>
      <c r="AQ40" s="292"/>
      <c r="AR40" s="292" t="s">
        <v>97</v>
      </c>
      <c r="AS40" s="292"/>
      <c r="AT40" s="292"/>
      <c r="AU40" s="40"/>
      <c r="AV40" s="40"/>
      <c r="AW40" s="67"/>
      <c r="AX40" s="67"/>
      <c r="AY40" s="67"/>
      <c r="AZ40" s="67"/>
      <c r="BA40" s="67"/>
      <c r="BB40" s="67"/>
      <c r="BC40" s="270" t="s">
        <v>84</v>
      </c>
      <c r="BD40" s="273"/>
      <c r="BE40" s="273"/>
      <c r="BF40" s="273"/>
      <c r="BG40" s="271">
        <v>25000</v>
      </c>
      <c r="BH40" s="271"/>
      <c r="BI40" s="271"/>
      <c r="BJ40" s="49" t="s">
        <v>25</v>
      </c>
      <c r="BK40" s="225">
        <f>AG61</f>
        <v>0</v>
      </c>
      <c r="BL40" s="195"/>
      <c r="BM40" s="49" t="s">
        <v>25</v>
      </c>
      <c r="BN40" s="225">
        <f>IF(BK40&gt;BG40,BG40,BK40)</f>
        <v>0</v>
      </c>
      <c r="BO40" s="195"/>
      <c r="BP40" s="57"/>
      <c r="BQ40" s="36"/>
      <c r="BR40" s="36"/>
      <c r="BS40" s="48"/>
      <c r="BT40" s="7"/>
    </row>
    <row r="41" spans="1:72">
      <c r="A41" s="285" t="s">
        <v>98</v>
      </c>
      <c r="B41" s="200"/>
      <c r="C41" s="200"/>
      <c r="D41" s="200"/>
      <c r="E41" s="200"/>
      <c r="F41" s="286"/>
      <c r="G41" s="298">
        <v>0</v>
      </c>
      <c r="H41" s="299"/>
      <c r="I41" s="293">
        <v>0</v>
      </c>
      <c r="J41" s="294"/>
      <c r="K41" s="293">
        <v>0</v>
      </c>
      <c r="L41" s="294"/>
      <c r="M41" s="293">
        <v>0</v>
      </c>
      <c r="N41" s="294"/>
      <c r="O41" s="293">
        <v>0</v>
      </c>
      <c r="P41" s="294"/>
      <c r="Q41" s="293">
        <v>0</v>
      </c>
      <c r="R41" s="294"/>
      <c r="S41" s="293">
        <v>0</v>
      </c>
      <c r="T41" s="294"/>
      <c r="U41" s="293">
        <v>0</v>
      </c>
      <c r="V41" s="294"/>
      <c r="W41" s="293">
        <v>0</v>
      </c>
      <c r="X41" s="294"/>
      <c r="Y41" s="293">
        <v>0</v>
      </c>
      <c r="Z41" s="294"/>
      <c r="AA41" s="293">
        <f t="shared" ref="AA41" si="26">Y41</f>
        <v>0</v>
      </c>
      <c r="AB41" s="294"/>
      <c r="AC41" s="293">
        <f t="shared" ref="AC41" si="27">AA41</f>
        <v>0</v>
      </c>
      <c r="AD41" s="294"/>
      <c r="AE41" s="287"/>
      <c r="AF41" s="288"/>
      <c r="AG41" s="136">
        <f>SUM(G41:AF41)</f>
        <v>0</v>
      </c>
      <c r="AH41" s="137"/>
      <c r="AI41" s="276"/>
      <c r="AJ41" s="34"/>
      <c r="AK41" s="3"/>
      <c r="AL41" s="56"/>
      <c r="AM41" s="3"/>
      <c r="AN41" s="70" t="s">
        <v>39</v>
      </c>
      <c r="AO41" s="176" t="s">
        <v>99</v>
      </c>
      <c r="AP41" s="227"/>
      <c r="AQ41" s="227"/>
      <c r="AR41" s="176" t="s">
        <v>100</v>
      </c>
      <c r="AS41" s="161"/>
      <c r="AT41" s="161"/>
      <c r="AU41" s="161"/>
      <c r="AV41" s="161"/>
      <c r="AW41" s="227"/>
      <c r="AX41" s="227"/>
      <c r="AY41" s="227"/>
      <c r="AZ41" s="227"/>
      <c r="BA41" s="227"/>
      <c r="BB41" s="227"/>
      <c r="BC41" s="227"/>
      <c r="BD41" s="227"/>
      <c r="BE41" s="227"/>
      <c r="BF41" s="227"/>
      <c r="BG41" s="43" t="s">
        <v>25</v>
      </c>
      <c r="BH41" s="187">
        <f>AG62</f>
        <v>0</v>
      </c>
      <c r="BI41" s="195"/>
      <c r="BJ41" s="38"/>
      <c r="BK41" s="156"/>
      <c r="BL41" s="158"/>
      <c r="BM41" s="38"/>
      <c r="BN41" s="156"/>
      <c r="BO41" s="158"/>
      <c r="BP41" s="57"/>
      <c r="BQ41" s="176"/>
      <c r="BR41" s="176"/>
      <c r="BS41" s="92"/>
      <c r="BT41" s="7"/>
    </row>
    <row r="42" spans="1:72">
      <c r="A42" s="295" t="s">
        <v>101</v>
      </c>
      <c r="B42" s="296"/>
      <c r="C42" s="296"/>
      <c r="D42" s="296"/>
      <c r="E42" s="296"/>
      <c r="F42" s="297"/>
      <c r="G42" s="217"/>
      <c r="H42" s="218"/>
      <c r="I42" s="287"/>
      <c r="J42" s="288"/>
      <c r="K42" s="287"/>
      <c r="L42" s="288"/>
      <c r="M42" s="287"/>
      <c r="N42" s="288"/>
      <c r="O42" s="287"/>
      <c r="P42" s="288"/>
      <c r="Q42" s="287"/>
      <c r="R42" s="288"/>
      <c r="S42" s="287"/>
      <c r="T42" s="288"/>
      <c r="U42" s="287"/>
      <c r="V42" s="288"/>
      <c r="W42" s="287"/>
      <c r="X42" s="288"/>
      <c r="Y42" s="287"/>
      <c r="Z42" s="288"/>
      <c r="AA42" s="287"/>
      <c r="AB42" s="288"/>
      <c r="AC42" s="287"/>
      <c r="AD42" s="288"/>
      <c r="AE42" s="287"/>
      <c r="AF42" s="288"/>
      <c r="AG42" s="289"/>
      <c r="AH42" s="290"/>
      <c r="AI42" s="291"/>
      <c r="AJ42" s="34"/>
      <c r="AK42" s="23"/>
      <c r="AL42" s="65"/>
      <c r="AM42" s="3"/>
      <c r="AN42" s="3"/>
      <c r="AO42" s="99"/>
      <c r="AP42" s="99"/>
      <c r="AQ42" s="99"/>
      <c r="AR42" s="176" t="s">
        <v>102</v>
      </c>
      <c r="AS42" s="161"/>
      <c r="AT42" s="161"/>
      <c r="AU42" s="161"/>
      <c r="AV42" s="161"/>
      <c r="AW42" s="227"/>
      <c r="AX42" s="227"/>
      <c r="AY42" s="227"/>
      <c r="AZ42" s="227"/>
      <c r="BA42" s="227"/>
      <c r="BB42" s="227"/>
      <c r="BC42" s="227"/>
      <c r="BD42" s="227"/>
      <c r="BE42" s="227"/>
      <c r="BF42" s="227"/>
      <c r="BG42" s="43" t="s">
        <v>25</v>
      </c>
      <c r="BH42" s="200">
        <v>0</v>
      </c>
      <c r="BI42" s="139"/>
      <c r="BJ42" s="38"/>
      <c r="BK42" s="99"/>
      <c r="BL42" s="92"/>
      <c r="BM42" s="38"/>
      <c r="BN42" s="99"/>
      <c r="BO42" s="92"/>
      <c r="BP42" s="38"/>
      <c r="BQ42" s="161"/>
      <c r="BR42" s="161"/>
      <c r="BS42" s="92"/>
      <c r="BT42" s="7"/>
    </row>
    <row r="43" spans="1:72">
      <c r="A43" s="71">
        <v>1</v>
      </c>
      <c r="B43" s="161" t="s">
        <v>103</v>
      </c>
      <c r="C43" s="175"/>
      <c r="D43" s="175"/>
      <c r="E43" s="175"/>
      <c r="F43" s="92"/>
      <c r="G43" s="217"/>
      <c r="H43" s="218"/>
      <c r="I43" s="309" t="s">
        <v>104</v>
      </c>
      <c r="J43" s="310"/>
      <c r="K43" s="310"/>
      <c r="L43" s="311"/>
      <c r="M43" s="309" t="s">
        <v>105</v>
      </c>
      <c r="N43" s="310"/>
      <c r="O43" s="310"/>
      <c r="P43" s="311"/>
      <c r="Q43" s="309" t="s">
        <v>106</v>
      </c>
      <c r="R43" s="310"/>
      <c r="S43" s="310"/>
      <c r="T43" s="311"/>
      <c r="U43" s="309" t="s">
        <v>107</v>
      </c>
      <c r="V43" s="310"/>
      <c r="W43" s="310"/>
      <c r="X43" s="311"/>
      <c r="Y43" s="309" t="s">
        <v>108</v>
      </c>
      <c r="Z43" s="310"/>
      <c r="AA43" s="310"/>
      <c r="AB43" s="311"/>
      <c r="AC43" s="309" t="s">
        <v>109</v>
      </c>
      <c r="AD43" s="310"/>
      <c r="AE43" s="310"/>
      <c r="AF43" s="311"/>
      <c r="AG43" s="289"/>
      <c r="AH43" s="290"/>
      <c r="AI43" s="291"/>
      <c r="AJ43" s="34"/>
      <c r="AK43" s="23"/>
      <c r="AL43" s="65"/>
      <c r="AM43" s="3"/>
      <c r="AN43" s="3"/>
      <c r="AO43" s="99"/>
      <c r="AP43" s="99"/>
      <c r="AQ43" s="99"/>
      <c r="AR43" s="176" t="s">
        <v>110</v>
      </c>
      <c r="AS43" s="176"/>
      <c r="AT43" s="176"/>
      <c r="AU43" s="176"/>
      <c r="AV43" s="176"/>
      <c r="AW43" s="176"/>
      <c r="AX43" s="176"/>
      <c r="AY43" s="67"/>
      <c r="AZ43" s="270" t="s">
        <v>84</v>
      </c>
      <c r="BA43" s="273"/>
      <c r="BB43" s="273"/>
      <c r="BC43" s="273"/>
      <c r="BD43" s="271">
        <v>25000</v>
      </c>
      <c r="BE43" s="271"/>
      <c r="BF43" s="271"/>
      <c r="BG43" s="43" t="s">
        <v>25</v>
      </c>
      <c r="BH43" s="200">
        <v>0</v>
      </c>
      <c r="BI43" s="139"/>
      <c r="BJ43" s="49" t="s">
        <v>25</v>
      </c>
      <c r="BK43" s="159">
        <v>3267</v>
      </c>
      <c r="BL43" s="139"/>
      <c r="BM43" s="49" t="s">
        <v>25</v>
      </c>
      <c r="BN43" s="225">
        <f>IF(BK43&gt;BD43,BD43,BK43)</f>
        <v>3267</v>
      </c>
      <c r="BO43" s="195"/>
      <c r="BP43" s="3"/>
      <c r="BQ43" s="161"/>
      <c r="BR43" s="161"/>
      <c r="BS43" s="92"/>
      <c r="BT43" s="7"/>
    </row>
    <row r="44" spans="1:72">
      <c r="A44" s="71"/>
      <c r="B44" s="161" t="s">
        <v>111</v>
      </c>
      <c r="C44" s="175"/>
      <c r="D44" s="175"/>
      <c r="E44" s="175"/>
      <c r="F44" s="92"/>
      <c r="G44" s="72"/>
      <c r="H44" s="73"/>
      <c r="I44" s="300"/>
      <c r="J44" s="301"/>
      <c r="K44" s="301"/>
      <c r="L44" s="302"/>
      <c r="M44" s="300"/>
      <c r="N44" s="301"/>
      <c r="O44" s="301"/>
      <c r="P44" s="302"/>
      <c r="Q44" s="300"/>
      <c r="R44" s="301"/>
      <c r="S44" s="301"/>
      <c r="T44" s="302"/>
      <c r="U44" s="300"/>
      <c r="V44" s="301"/>
      <c r="W44" s="301"/>
      <c r="X44" s="302"/>
      <c r="Y44" s="303"/>
      <c r="Z44" s="304"/>
      <c r="AA44" s="304"/>
      <c r="AB44" s="305"/>
      <c r="AC44" s="306">
        <f>SUM(Q44,-(U44+Y44))</f>
        <v>0</v>
      </c>
      <c r="AD44" s="307"/>
      <c r="AE44" s="307"/>
      <c r="AF44" s="308"/>
      <c r="AG44" s="289"/>
      <c r="AH44" s="290"/>
      <c r="AI44" s="291"/>
      <c r="AJ44" s="34"/>
      <c r="AK44" s="23"/>
      <c r="AL44" s="56"/>
      <c r="AM44" s="3"/>
      <c r="AN44" s="70" t="s">
        <v>112</v>
      </c>
      <c r="AO44" s="176" t="s">
        <v>113</v>
      </c>
      <c r="AP44" s="227"/>
      <c r="AQ44" s="227"/>
      <c r="AR44" s="292" t="s">
        <v>114</v>
      </c>
      <c r="AS44" s="292"/>
      <c r="AT44" s="292"/>
      <c r="AU44" s="292"/>
      <c r="AV44" s="292"/>
      <c r="AW44" s="292"/>
      <c r="AX44" s="292"/>
      <c r="AY44" s="292"/>
      <c r="AZ44" s="292"/>
      <c r="BA44" s="292"/>
      <c r="BB44" s="67"/>
      <c r="BC44" s="270"/>
      <c r="BD44" s="273"/>
      <c r="BE44" s="273"/>
      <c r="BF44" s="273"/>
      <c r="BG44" s="284"/>
      <c r="BH44" s="284"/>
      <c r="BI44" s="284"/>
      <c r="BJ44" s="49" t="s">
        <v>25</v>
      </c>
      <c r="BK44" s="159">
        <f t="shared" ref="BK44:BK49" si="28">AG65</f>
        <v>0</v>
      </c>
      <c r="BL44" s="139"/>
      <c r="BM44" s="49" t="s">
        <v>25</v>
      </c>
      <c r="BN44" s="159">
        <f>AG65</f>
        <v>0</v>
      </c>
      <c r="BO44" s="139"/>
      <c r="BP44" s="57"/>
      <c r="BQ44" s="176"/>
      <c r="BR44" s="176"/>
      <c r="BS44" s="92"/>
      <c r="BT44" s="7"/>
    </row>
    <row r="45" spans="1:72">
      <c r="A45" s="71"/>
      <c r="B45" s="161" t="s">
        <v>115</v>
      </c>
      <c r="C45" s="175"/>
      <c r="D45" s="175"/>
      <c r="E45" s="175"/>
      <c r="F45" s="92"/>
      <c r="G45" s="72"/>
      <c r="H45" s="73"/>
      <c r="I45" s="303"/>
      <c r="J45" s="304"/>
      <c r="K45" s="304"/>
      <c r="L45" s="305"/>
      <c r="M45" s="303"/>
      <c r="N45" s="304"/>
      <c r="O45" s="304"/>
      <c r="P45" s="305"/>
      <c r="Q45" s="306">
        <f t="shared" ref="Q45:Q46" si="29">SUM(I45,-M45)</f>
        <v>0</v>
      </c>
      <c r="R45" s="307"/>
      <c r="S45" s="307"/>
      <c r="T45" s="308"/>
      <c r="U45" s="306">
        <f t="shared" ref="U45:U46" si="30">ROUND(Q45*30%,0)</f>
        <v>0</v>
      </c>
      <c r="V45" s="307"/>
      <c r="W45" s="307"/>
      <c r="X45" s="308"/>
      <c r="Y45" s="303"/>
      <c r="Z45" s="304"/>
      <c r="AA45" s="304"/>
      <c r="AB45" s="305"/>
      <c r="AC45" s="306">
        <f t="shared" ref="AC45:AC46" si="31">SUM(Q45,-(U45+Y45))</f>
        <v>0</v>
      </c>
      <c r="AD45" s="307"/>
      <c r="AE45" s="307"/>
      <c r="AF45" s="308"/>
      <c r="AG45" s="289"/>
      <c r="AH45" s="290"/>
      <c r="AI45" s="291"/>
      <c r="AJ45" s="34"/>
      <c r="AK45" s="23"/>
      <c r="AL45" s="56"/>
      <c r="AM45" s="3"/>
      <c r="AN45" s="70" t="s">
        <v>116</v>
      </c>
      <c r="AO45" s="176" t="s">
        <v>117</v>
      </c>
      <c r="AP45" s="227"/>
      <c r="AQ45" s="227"/>
      <c r="AR45" s="292" t="s">
        <v>118</v>
      </c>
      <c r="AS45" s="292"/>
      <c r="AT45" s="292"/>
      <c r="AU45" s="292"/>
      <c r="AV45" s="292"/>
      <c r="AW45" s="292"/>
      <c r="AX45" s="292"/>
      <c r="AY45" s="292"/>
      <c r="AZ45" s="292"/>
      <c r="BA45" s="292"/>
      <c r="BB45" s="67"/>
      <c r="BC45" s="270"/>
      <c r="BD45" s="273"/>
      <c r="BE45" s="273"/>
      <c r="BF45" s="273"/>
      <c r="BG45" s="284"/>
      <c r="BH45" s="284"/>
      <c r="BI45" s="284"/>
      <c r="BJ45" s="49" t="s">
        <v>25</v>
      </c>
      <c r="BK45" s="159">
        <v>0</v>
      </c>
      <c r="BL45" s="139"/>
      <c r="BM45" s="49" t="s">
        <v>25</v>
      </c>
      <c r="BN45" s="159">
        <v>0</v>
      </c>
      <c r="BO45" s="139"/>
      <c r="BP45" s="57"/>
      <c r="BQ45" s="176"/>
      <c r="BR45" s="176"/>
      <c r="BS45" s="92"/>
      <c r="BT45" s="7"/>
    </row>
    <row r="46" spans="1:72">
      <c r="A46" s="71"/>
      <c r="B46" s="161" t="s">
        <v>119</v>
      </c>
      <c r="C46" s="175"/>
      <c r="D46" s="175"/>
      <c r="E46" s="175"/>
      <c r="F46" s="92"/>
      <c r="G46" s="72"/>
      <c r="H46" s="73"/>
      <c r="I46" s="303"/>
      <c r="J46" s="304"/>
      <c r="K46" s="304"/>
      <c r="L46" s="305"/>
      <c r="M46" s="303"/>
      <c r="N46" s="304"/>
      <c r="O46" s="304"/>
      <c r="P46" s="305"/>
      <c r="Q46" s="306">
        <f t="shared" si="29"/>
        <v>0</v>
      </c>
      <c r="R46" s="307"/>
      <c r="S46" s="307"/>
      <c r="T46" s="308"/>
      <c r="U46" s="306">
        <f t="shared" si="30"/>
        <v>0</v>
      </c>
      <c r="V46" s="307"/>
      <c r="W46" s="307"/>
      <c r="X46" s="308"/>
      <c r="Y46" s="303"/>
      <c r="Z46" s="304"/>
      <c r="AA46" s="304"/>
      <c r="AB46" s="305"/>
      <c r="AC46" s="306">
        <f t="shared" si="31"/>
        <v>0</v>
      </c>
      <c r="AD46" s="307"/>
      <c r="AE46" s="307"/>
      <c r="AF46" s="308"/>
      <c r="AG46" s="315">
        <f>SUM(AC44:AF46)</f>
        <v>0</v>
      </c>
      <c r="AH46" s="315">
        <f t="shared" ref="AH46:AI46" si="32">IF(SUM(AD47:AG49)&lt;=-200000,-200000,SUM(AD47:AG49))</f>
        <v>0</v>
      </c>
      <c r="AI46" s="315">
        <f t="shared" si="32"/>
        <v>0</v>
      </c>
      <c r="AJ46" s="34"/>
      <c r="AK46" s="23"/>
      <c r="AL46" s="56"/>
      <c r="AM46" s="3"/>
      <c r="AN46" s="70" t="s">
        <v>120</v>
      </c>
      <c r="AO46" s="176" t="s">
        <v>121</v>
      </c>
      <c r="AP46" s="227"/>
      <c r="AQ46" s="227"/>
      <c r="AR46" s="292" t="s">
        <v>122</v>
      </c>
      <c r="AS46" s="292"/>
      <c r="AT46" s="292"/>
      <c r="AU46" s="292"/>
      <c r="AV46" s="292"/>
      <c r="AW46" s="292"/>
      <c r="AX46" s="292"/>
      <c r="AY46" s="292"/>
      <c r="AZ46" s="292"/>
      <c r="BA46" s="292"/>
      <c r="BB46" s="67"/>
      <c r="BC46" s="270"/>
      <c r="BD46" s="273"/>
      <c r="BE46" s="273"/>
      <c r="BF46" s="273"/>
      <c r="BG46" s="284"/>
      <c r="BH46" s="284"/>
      <c r="BI46" s="284"/>
      <c r="BJ46" s="49" t="s">
        <v>25</v>
      </c>
      <c r="BK46" s="159">
        <f t="shared" si="28"/>
        <v>0</v>
      </c>
      <c r="BL46" s="139"/>
      <c r="BM46" s="49" t="s">
        <v>25</v>
      </c>
      <c r="BN46" s="159">
        <f>AG67</f>
        <v>0</v>
      </c>
      <c r="BO46" s="139"/>
      <c r="BP46" s="57"/>
      <c r="BQ46" s="176"/>
      <c r="BR46" s="176"/>
      <c r="BS46" s="92"/>
      <c r="BT46" s="7"/>
    </row>
    <row r="47" spans="1:72">
      <c r="A47" s="74">
        <v>2</v>
      </c>
      <c r="B47" s="312" t="s">
        <v>123</v>
      </c>
      <c r="C47" s="313"/>
      <c r="D47" s="313"/>
      <c r="E47" s="313"/>
      <c r="F47" s="314"/>
      <c r="G47" s="293">
        <v>0</v>
      </c>
      <c r="H47" s="294"/>
      <c r="I47" s="293"/>
      <c r="J47" s="294"/>
      <c r="K47" s="293"/>
      <c r="L47" s="294"/>
      <c r="M47" s="293"/>
      <c r="N47" s="294"/>
      <c r="O47" s="293"/>
      <c r="P47" s="294"/>
      <c r="Q47" s="293"/>
      <c r="R47" s="294"/>
      <c r="S47" s="293"/>
      <c r="T47" s="294"/>
      <c r="U47" s="293"/>
      <c r="V47" s="294"/>
      <c r="W47" s="293"/>
      <c r="X47" s="294"/>
      <c r="Y47" s="293"/>
      <c r="Z47" s="294"/>
      <c r="AA47" s="293"/>
      <c r="AB47" s="294"/>
      <c r="AC47" s="293"/>
      <c r="AD47" s="294"/>
      <c r="AE47" s="293"/>
      <c r="AF47" s="294"/>
      <c r="AG47" s="136">
        <f>SUM(G47:AF47)</f>
        <v>0</v>
      </c>
      <c r="AH47" s="137"/>
      <c r="AI47" s="276"/>
      <c r="AJ47" s="34"/>
      <c r="AK47" s="23"/>
      <c r="AL47" s="56"/>
      <c r="AM47" s="3"/>
      <c r="AN47" s="70" t="s">
        <v>124</v>
      </c>
      <c r="AO47" s="176" t="s">
        <v>125</v>
      </c>
      <c r="AP47" s="227"/>
      <c r="AQ47" s="227"/>
      <c r="AR47" s="292" t="s">
        <v>126</v>
      </c>
      <c r="AS47" s="292"/>
      <c r="AT47" s="292"/>
      <c r="AU47" s="292"/>
      <c r="AV47" s="292"/>
      <c r="AW47" s="292"/>
      <c r="AX47" s="292"/>
      <c r="AY47" s="292"/>
      <c r="AZ47" s="292"/>
      <c r="BA47" s="292"/>
      <c r="BB47" s="67"/>
      <c r="BC47" s="282"/>
      <c r="BD47" s="283"/>
      <c r="BE47" s="283"/>
      <c r="BF47" s="283"/>
      <c r="BG47" s="284"/>
      <c r="BH47" s="284"/>
      <c r="BI47" s="284"/>
      <c r="BJ47" s="49" t="s">
        <v>25</v>
      </c>
      <c r="BK47" s="159">
        <f t="shared" si="28"/>
        <v>0</v>
      </c>
      <c r="BL47" s="139"/>
      <c r="BM47" s="49" t="s">
        <v>25</v>
      </c>
      <c r="BN47" s="159">
        <f>AG68</f>
        <v>0</v>
      </c>
      <c r="BO47" s="139"/>
      <c r="BP47" s="57"/>
      <c r="BQ47" s="176"/>
      <c r="BR47" s="176"/>
      <c r="BS47" s="92"/>
      <c r="BT47" s="7"/>
    </row>
    <row r="48" spans="1:72">
      <c r="A48" s="321" t="s">
        <v>127</v>
      </c>
      <c r="B48" s="322"/>
      <c r="C48" s="322"/>
      <c r="D48" s="322"/>
      <c r="E48" s="322"/>
      <c r="F48" s="323"/>
      <c r="G48" s="217"/>
      <c r="H48" s="218"/>
      <c r="I48" s="233"/>
      <c r="J48" s="234"/>
      <c r="K48" s="233"/>
      <c r="L48" s="234"/>
      <c r="M48" s="233"/>
      <c r="N48" s="234"/>
      <c r="O48" s="233"/>
      <c r="P48" s="234"/>
      <c r="Q48" s="233"/>
      <c r="R48" s="234"/>
      <c r="S48" s="233"/>
      <c r="T48" s="234"/>
      <c r="U48" s="233"/>
      <c r="V48" s="234"/>
      <c r="W48" s="233"/>
      <c r="X48" s="234"/>
      <c r="Y48" s="233"/>
      <c r="Z48" s="234"/>
      <c r="AA48" s="233"/>
      <c r="AB48" s="234"/>
      <c r="AC48" s="233"/>
      <c r="AD48" s="234"/>
      <c r="AE48" s="233"/>
      <c r="AF48" s="234"/>
      <c r="AG48" s="318"/>
      <c r="AH48" s="319"/>
      <c r="AI48" s="320"/>
      <c r="AJ48" s="34"/>
      <c r="AK48" s="23"/>
      <c r="AL48" s="56"/>
      <c r="AM48" s="3"/>
      <c r="AN48" s="70" t="s">
        <v>128</v>
      </c>
      <c r="AO48" s="176" t="s">
        <v>129</v>
      </c>
      <c r="AP48" s="227"/>
      <c r="AQ48" s="227"/>
      <c r="AR48" s="292" t="s">
        <v>130</v>
      </c>
      <c r="AS48" s="292"/>
      <c r="AT48" s="292"/>
      <c r="AU48" s="292"/>
      <c r="AV48" s="292"/>
      <c r="AW48" s="292"/>
      <c r="AX48" s="292"/>
      <c r="AY48" s="292"/>
      <c r="AZ48" s="292"/>
      <c r="BA48" s="292"/>
      <c r="BB48" s="67"/>
      <c r="BC48" s="270" t="s">
        <v>84</v>
      </c>
      <c r="BD48" s="273"/>
      <c r="BE48" s="273"/>
      <c r="BF48" s="273"/>
      <c r="BG48" s="271">
        <v>10000</v>
      </c>
      <c r="BH48" s="271"/>
      <c r="BI48" s="271"/>
      <c r="BJ48" s="49" t="s">
        <v>25</v>
      </c>
      <c r="BK48" s="225">
        <v>0</v>
      </c>
      <c r="BL48" s="195"/>
      <c r="BM48" s="49" t="s">
        <v>25</v>
      </c>
      <c r="BN48" s="225">
        <f>IF(BK48&gt;BG48,10000,BK48)</f>
        <v>0</v>
      </c>
      <c r="BO48" s="195"/>
      <c r="BP48" s="57"/>
      <c r="BQ48" s="36"/>
      <c r="BR48" s="36"/>
      <c r="BS48" s="48"/>
      <c r="BT48" s="7"/>
    </row>
    <row r="49" spans="1:72">
      <c r="A49" s="316" t="s">
        <v>131</v>
      </c>
      <c r="B49" s="251"/>
      <c r="C49" s="251"/>
      <c r="D49" s="251"/>
      <c r="E49" s="251"/>
      <c r="F49" s="317"/>
      <c r="G49" s="217"/>
      <c r="H49" s="218"/>
      <c r="I49" s="217"/>
      <c r="J49" s="218"/>
      <c r="K49" s="217"/>
      <c r="L49" s="218"/>
      <c r="M49" s="217"/>
      <c r="N49" s="218"/>
      <c r="O49" s="217"/>
      <c r="P49" s="218"/>
      <c r="Q49" s="217"/>
      <c r="R49" s="218"/>
      <c r="S49" s="217"/>
      <c r="T49" s="218"/>
      <c r="U49" s="217"/>
      <c r="V49" s="218"/>
      <c r="W49" s="217"/>
      <c r="X49" s="218"/>
      <c r="Y49" s="217"/>
      <c r="Z49" s="218"/>
      <c r="AA49" s="217"/>
      <c r="AB49" s="218"/>
      <c r="AC49" s="217"/>
      <c r="AD49" s="218"/>
      <c r="AE49" s="217"/>
      <c r="AF49" s="218"/>
      <c r="AG49" s="324"/>
      <c r="AH49" s="325"/>
      <c r="AI49" s="326"/>
      <c r="AJ49" s="34"/>
      <c r="AK49" s="23"/>
      <c r="AL49" s="58"/>
      <c r="AM49" s="63"/>
      <c r="AN49" s="75" t="s">
        <v>124</v>
      </c>
      <c r="AO49" s="225" t="s">
        <v>132</v>
      </c>
      <c r="AP49" s="226"/>
      <c r="AQ49" s="226"/>
      <c r="AR49" s="292" t="s">
        <v>133</v>
      </c>
      <c r="AS49" s="292"/>
      <c r="AT49" s="292"/>
      <c r="AU49" s="292"/>
      <c r="AV49" s="292"/>
      <c r="AW49" s="292"/>
      <c r="AX49" s="292"/>
      <c r="AY49" s="292"/>
      <c r="AZ49" s="292"/>
      <c r="BA49" s="292"/>
      <c r="BB49" s="76"/>
      <c r="BC49" s="270"/>
      <c r="BD49" s="273"/>
      <c r="BE49" s="273"/>
      <c r="BF49" s="273"/>
      <c r="BG49" s="284"/>
      <c r="BH49" s="284"/>
      <c r="BI49" s="284"/>
      <c r="BJ49" s="77" t="s">
        <v>25</v>
      </c>
      <c r="BK49" s="159">
        <f t="shared" si="28"/>
        <v>0</v>
      </c>
      <c r="BL49" s="139"/>
      <c r="BM49" s="77" t="s">
        <v>25</v>
      </c>
      <c r="BN49" s="225">
        <f>AG70</f>
        <v>0</v>
      </c>
      <c r="BO49" s="195"/>
      <c r="BP49" s="50"/>
      <c r="BQ49" s="161"/>
      <c r="BR49" s="161"/>
      <c r="BS49" s="92"/>
      <c r="BT49" s="7"/>
    </row>
    <row r="50" spans="1:72">
      <c r="A50" s="35">
        <v>1</v>
      </c>
      <c r="B50" s="161" t="s">
        <v>134</v>
      </c>
      <c r="C50" s="161"/>
      <c r="D50" s="161"/>
      <c r="E50" s="161"/>
      <c r="F50" s="177"/>
      <c r="G50" s="178"/>
      <c r="H50" s="179"/>
      <c r="I50" s="178">
        <f t="shared" ref="I50:I55" si="33">G50</f>
        <v>0</v>
      </c>
      <c r="J50" s="179"/>
      <c r="K50" s="178">
        <f t="shared" ref="K50:K55" si="34">I50</f>
        <v>0</v>
      </c>
      <c r="L50" s="179"/>
      <c r="M50" s="178">
        <v>0</v>
      </c>
      <c r="N50" s="179"/>
      <c r="O50" s="178">
        <f t="shared" ref="O50:O55" si="35">M50</f>
        <v>0</v>
      </c>
      <c r="P50" s="179"/>
      <c r="Q50" s="178">
        <f t="shared" ref="Q50:Q55" si="36">O50</f>
        <v>0</v>
      </c>
      <c r="R50" s="179"/>
      <c r="S50" s="178">
        <f t="shared" ref="S50:S55" si="37">Q50</f>
        <v>0</v>
      </c>
      <c r="T50" s="179"/>
      <c r="U50" s="178">
        <f t="shared" ref="U50:U55" si="38">S50</f>
        <v>0</v>
      </c>
      <c r="V50" s="179"/>
      <c r="W50" s="178">
        <f t="shared" ref="W50:W55" si="39">U50</f>
        <v>0</v>
      </c>
      <c r="X50" s="179"/>
      <c r="Y50" s="178">
        <f t="shared" ref="Y50:Y55" si="40">W50</f>
        <v>0</v>
      </c>
      <c r="Z50" s="179"/>
      <c r="AA50" s="178">
        <f t="shared" ref="AA50:AA55" si="41">Y50</f>
        <v>0</v>
      </c>
      <c r="AB50" s="179"/>
      <c r="AC50" s="178">
        <f t="shared" ref="AC50:AC55" si="42">AA50</f>
        <v>0</v>
      </c>
      <c r="AD50" s="179"/>
      <c r="AE50" s="217"/>
      <c r="AF50" s="218"/>
      <c r="AG50" s="160">
        <f t="shared" ref="AG50:AG57" si="43">SUM(G50:AF50)</f>
        <v>0</v>
      </c>
      <c r="AH50" s="161"/>
      <c r="AI50" s="177"/>
      <c r="AJ50" s="34"/>
      <c r="AK50" s="23"/>
      <c r="AL50" s="58">
        <v>10</v>
      </c>
      <c r="AM50" s="219" t="s">
        <v>135</v>
      </c>
      <c r="AN50" s="159"/>
      <c r="AO50" s="159"/>
      <c r="AP50" s="159"/>
      <c r="AQ50" s="159"/>
      <c r="AR50" s="159"/>
      <c r="AS50" s="200"/>
      <c r="AT50" s="200"/>
      <c r="AU50" s="200"/>
      <c r="AV50" s="200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9"/>
      <c r="BJ50" s="60"/>
      <c r="BK50" s="159"/>
      <c r="BL50" s="139"/>
      <c r="BM50" s="50"/>
      <c r="BN50" s="159"/>
      <c r="BO50" s="139"/>
      <c r="BP50" s="77" t="s">
        <v>25</v>
      </c>
      <c r="BQ50" s="159">
        <v>150000</v>
      </c>
      <c r="BR50" s="159"/>
      <c r="BS50" s="139"/>
      <c r="BT50" s="7"/>
    </row>
    <row r="51" spans="1:72">
      <c r="A51" s="35">
        <v>2</v>
      </c>
      <c r="B51" s="161" t="s">
        <v>136</v>
      </c>
      <c r="C51" s="161"/>
      <c r="D51" s="161"/>
      <c r="E51" s="161"/>
      <c r="F51" s="177"/>
      <c r="G51" s="178"/>
      <c r="H51" s="179"/>
      <c r="I51" s="178">
        <f t="shared" si="33"/>
        <v>0</v>
      </c>
      <c r="J51" s="179"/>
      <c r="K51" s="178">
        <f t="shared" si="34"/>
        <v>0</v>
      </c>
      <c r="L51" s="179"/>
      <c r="M51" s="178">
        <f t="shared" ref="M51:M55" si="44">K51</f>
        <v>0</v>
      </c>
      <c r="N51" s="179"/>
      <c r="O51" s="178">
        <f t="shared" si="35"/>
        <v>0</v>
      </c>
      <c r="P51" s="179"/>
      <c r="Q51" s="178"/>
      <c r="R51" s="179"/>
      <c r="S51" s="178">
        <f t="shared" si="37"/>
        <v>0</v>
      </c>
      <c r="T51" s="179"/>
      <c r="U51" s="178">
        <v>0</v>
      </c>
      <c r="V51" s="179"/>
      <c r="W51" s="178">
        <f t="shared" si="39"/>
        <v>0</v>
      </c>
      <c r="X51" s="179"/>
      <c r="Y51" s="178">
        <f t="shared" si="40"/>
        <v>0</v>
      </c>
      <c r="Z51" s="179"/>
      <c r="AA51" s="178">
        <f t="shared" si="41"/>
        <v>0</v>
      </c>
      <c r="AB51" s="179"/>
      <c r="AC51" s="178">
        <f t="shared" si="42"/>
        <v>0</v>
      </c>
      <c r="AD51" s="179"/>
      <c r="AE51" s="217"/>
      <c r="AF51" s="218"/>
      <c r="AG51" s="160">
        <f t="shared" si="43"/>
        <v>0</v>
      </c>
      <c r="AH51" s="161"/>
      <c r="AI51" s="177"/>
      <c r="AJ51" s="34"/>
      <c r="AK51" s="23"/>
      <c r="AL51" s="53">
        <v>11</v>
      </c>
      <c r="AM51" s="219" t="s">
        <v>137</v>
      </c>
      <c r="AN51" s="159"/>
      <c r="AO51" s="159"/>
      <c r="AP51" s="159"/>
      <c r="AQ51" s="159"/>
      <c r="AR51" s="159"/>
      <c r="AS51" s="200"/>
      <c r="AT51" s="200"/>
      <c r="AU51" s="200"/>
      <c r="AV51" s="200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9"/>
      <c r="BJ51" s="54"/>
      <c r="BK51" s="159"/>
      <c r="BL51" s="139"/>
      <c r="BM51" s="29"/>
      <c r="BN51" s="159"/>
      <c r="BO51" s="139"/>
      <c r="BP51" s="52" t="s">
        <v>25</v>
      </c>
      <c r="BQ51" s="159">
        <f>ROUND((BQ25-BQ50),-1)</f>
        <v>398270</v>
      </c>
      <c r="BR51" s="159"/>
      <c r="BS51" s="139"/>
      <c r="BT51" s="7"/>
    </row>
    <row r="52" spans="1:72">
      <c r="A52" s="35">
        <v>3</v>
      </c>
      <c r="B52" s="161" t="s">
        <v>138</v>
      </c>
      <c r="C52" s="161"/>
      <c r="D52" s="161"/>
      <c r="E52" s="161"/>
      <c r="F52" s="177"/>
      <c r="G52" s="178">
        <v>0</v>
      </c>
      <c r="H52" s="179"/>
      <c r="I52" s="178">
        <f t="shared" si="33"/>
        <v>0</v>
      </c>
      <c r="J52" s="179"/>
      <c r="K52" s="178">
        <f t="shared" si="34"/>
        <v>0</v>
      </c>
      <c r="L52" s="179"/>
      <c r="M52" s="178">
        <f t="shared" si="44"/>
        <v>0</v>
      </c>
      <c r="N52" s="179"/>
      <c r="O52" s="178">
        <f t="shared" si="35"/>
        <v>0</v>
      </c>
      <c r="P52" s="179"/>
      <c r="Q52" s="178">
        <f t="shared" si="36"/>
        <v>0</v>
      </c>
      <c r="R52" s="179"/>
      <c r="S52" s="178">
        <f t="shared" si="37"/>
        <v>0</v>
      </c>
      <c r="T52" s="179"/>
      <c r="U52" s="178">
        <f t="shared" si="38"/>
        <v>0</v>
      </c>
      <c r="V52" s="179"/>
      <c r="W52" s="178">
        <f t="shared" si="39"/>
        <v>0</v>
      </c>
      <c r="X52" s="179"/>
      <c r="Y52" s="178">
        <f t="shared" si="40"/>
        <v>0</v>
      </c>
      <c r="Z52" s="179"/>
      <c r="AA52" s="178">
        <f t="shared" si="41"/>
        <v>0</v>
      </c>
      <c r="AB52" s="179"/>
      <c r="AC52" s="178">
        <f t="shared" si="42"/>
        <v>0</v>
      </c>
      <c r="AD52" s="179"/>
      <c r="AE52" s="217"/>
      <c r="AF52" s="218"/>
      <c r="AG52" s="160">
        <f t="shared" si="43"/>
        <v>0</v>
      </c>
      <c r="AH52" s="161"/>
      <c r="AI52" s="177"/>
      <c r="AJ52" s="34"/>
      <c r="AK52" s="23"/>
      <c r="AL52" s="27">
        <v>12</v>
      </c>
      <c r="AM52" s="219" t="s">
        <v>139</v>
      </c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38"/>
      <c r="BB52" s="138"/>
      <c r="BC52" s="138"/>
      <c r="BD52" s="138"/>
      <c r="BE52" s="138"/>
      <c r="BF52" s="138"/>
      <c r="BG52" s="138"/>
      <c r="BH52" s="138"/>
      <c r="BI52" s="138"/>
      <c r="BJ52" s="138"/>
      <c r="BK52" s="138"/>
      <c r="BL52" s="138"/>
      <c r="BM52" s="138"/>
      <c r="BN52" s="138"/>
      <c r="BO52" s="139"/>
      <c r="BP52" s="30" t="s">
        <v>25</v>
      </c>
      <c r="BQ52" s="327">
        <f>BM64</f>
        <v>7414</v>
      </c>
      <c r="BR52" s="327"/>
      <c r="BS52" s="158"/>
      <c r="BT52" s="7"/>
    </row>
    <row r="53" spans="1:72">
      <c r="A53" s="35">
        <v>4</v>
      </c>
      <c r="B53" s="161" t="s">
        <v>140</v>
      </c>
      <c r="C53" s="161"/>
      <c r="D53" s="161"/>
      <c r="E53" s="161"/>
      <c r="F53" s="177"/>
      <c r="G53" s="178">
        <v>0</v>
      </c>
      <c r="H53" s="179"/>
      <c r="I53" s="178">
        <v>0</v>
      </c>
      <c r="J53" s="179"/>
      <c r="K53" s="178">
        <v>0</v>
      </c>
      <c r="L53" s="179"/>
      <c r="M53" s="178">
        <v>0</v>
      </c>
      <c r="N53" s="179"/>
      <c r="O53" s="178">
        <f t="shared" si="35"/>
        <v>0</v>
      </c>
      <c r="P53" s="179"/>
      <c r="Q53" s="178">
        <f t="shared" si="36"/>
        <v>0</v>
      </c>
      <c r="R53" s="179"/>
      <c r="S53" s="178">
        <v>0</v>
      </c>
      <c r="T53" s="179"/>
      <c r="U53" s="178">
        <v>0</v>
      </c>
      <c r="V53" s="179"/>
      <c r="W53" s="178">
        <v>0</v>
      </c>
      <c r="X53" s="179"/>
      <c r="Y53" s="178">
        <v>0</v>
      </c>
      <c r="Z53" s="179"/>
      <c r="AA53" s="178">
        <v>0</v>
      </c>
      <c r="AB53" s="179"/>
      <c r="AC53" s="178">
        <v>0</v>
      </c>
      <c r="AD53" s="179"/>
      <c r="AE53" s="217"/>
      <c r="AF53" s="218"/>
      <c r="AG53" s="160">
        <f t="shared" si="43"/>
        <v>0</v>
      </c>
      <c r="AH53" s="161"/>
      <c r="AI53" s="177"/>
      <c r="AJ53" s="34"/>
      <c r="AK53" s="3"/>
      <c r="AL53" s="56"/>
      <c r="AM53" s="339" t="s">
        <v>141</v>
      </c>
      <c r="AN53" s="340"/>
      <c r="AO53" s="340"/>
      <c r="AP53" s="96"/>
      <c r="AQ53" s="96"/>
      <c r="AR53" s="98"/>
      <c r="AS53" s="339" t="s">
        <v>142</v>
      </c>
      <c r="AT53" s="340"/>
      <c r="AU53" s="340"/>
      <c r="AV53" s="340"/>
      <c r="AW53" s="340"/>
      <c r="AX53" s="340"/>
      <c r="AY53" s="96"/>
      <c r="AZ53" s="96"/>
      <c r="BA53" s="96"/>
      <c r="BB53" s="96"/>
      <c r="BC53" s="96"/>
      <c r="BD53" s="98"/>
      <c r="BE53" s="334" t="s">
        <v>143</v>
      </c>
      <c r="BF53" s="335"/>
      <c r="BG53" s="257"/>
      <c r="BH53" s="341" t="s">
        <v>144</v>
      </c>
      <c r="BI53" s="342"/>
      <c r="BJ53" s="133"/>
      <c r="BK53" s="135"/>
      <c r="BL53" s="332" t="s">
        <v>145</v>
      </c>
      <c r="BM53" s="334" t="s">
        <v>146</v>
      </c>
      <c r="BN53" s="335"/>
      <c r="BO53" s="257"/>
      <c r="BP53" s="35"/>
      <c r="BQ53" s="161"/>
      <c r="BR53" s="161"/>
      <c r="BS53" s="92"/>
      <c r="BT53" s="7"/>
    </row>
    <row r="54" spans="1:72">
      <c r="A54" s="35">
        <v>5</v>
      </c>
      <c r="B54" s="161" t="s">
        <v>147</v>
      </c>
      <c r="C54" s="161"/>
      <c r="D54" s="161"/>
      <c r="E54" s="161"/>
      <c r="F54" s="177"/>
      <c r="G54" s="178">
        <v>0</v>
      </c>
      <c r="H54" s="179"/>
      <c r="I54" s="178">
        <f t="shared" si="33"/>
        <v>0</v>
      </c>
      <c r="J54" s="179"/>
      <c r="K54" s="178">
        <f t="shared" si="34"/>
        <v>0</v>
      </c>
      <c r="L54" s="179"/>
      <c r="M54" s="178">
        <f t="shared" si="44"/>
        <v>0</v>
      </c>
      <c r="N54" s="179"/>
      <c r="O54" s="178">
        <f t="shared" si="35"/>
        <v>0</v>
      </c>
      <c r="P54" s="179"/>
      <c r="Q54" s="178">
        <f t="shared" si="36"/>
        <v>0</v>
      </c>
      <c r="R54" s="179"/>
      <c r="S54" s="178">
        <f t="shared" si="37"/>
        <v>0</v>
      </c>
      <c r="T54" s="179"/>
      <c r="U54" s="178">
        <f t="shared" si="38"/>
        <v>0</v>
      </c>
      <c r="V54" s="179"/>
      <c r="W54" s="178">
        <f t="shared" si="39"/>
        <v>0</v>
      </c>
      <c r="X54" s="179"/>
      <c r="Y54" s="178">
        <f t="shared" si="40"/>
        <v>0</v>
      </c>
      <c r="Z54" s="179"/>
      <c r="AA54" s="178">
        <f t="shared" si="41"/>
        <v>0</v>
      </c>
      <c r="AB54" s="179"/>
      <c r="AC54" s="178">
        <f t="shared" si="42"/>
        <v>0</v>
      </c>
      <c r="AD54" s="179"/>
      <c r="AE54" s="217"/>
      <c r="AF54" s="218"/>
      <c r="AG54" s="160">
        <f t="shared" si="43"/>
        <v>0</v>
      </c>
      <c r="AH54" s="161"/>
      <c r="AI54" s="177"/>
      <c r="AJ54" s="34"/>
      <c r="AK54" s="3"/>
      <c r="AL54" s="56"/>
      <c r="AM54" s="339" t="s">
        <v>18</v>
      </c>
      <c r="AN54" s="340"/>
      <c r="AO54" s="98"/>
      <c r="AP54" s="339" t="s">
        <v>19</v>
      </c>
      <c r="AQ54" s="96"/>
      <c r="AR54" s="98"/>
      <c r="AS54" s="328" t="s">
        <v>148</v>
      </c>
      <c r="AT54" s="329"/>
      <c r="AU54" s="329"/>
      <c r="AV54" s="330"/>
      <c r="AW54" s="330"/>
      <c r="AX54" s="331"/>
      <c r="AY54" s="328" t="s">
        <v>21</v>
      </c>
      <c r="AZ54" s="330"/>
      <c r="BA54" s="330"/>
      <c r="BB54" s="330"/>
      <c r="BC54" s="330"/>
      <c r="BD54" s="331"/>
      <c r="BE54" s="336"/>
      <c r="BF54" s="337"/>
      <c r="BG54" s="338"/>
      <c r="BH54" s="343"/>
      <c r="BI54" s="344"/>
      <c r="BJ54" s="345"/>
      <c r="BK54" s="346"/>
      <c r="BL54" s="333"/>
      <c r="BM54" s="336"/>
      <c r="BN54" s="337"/>
      <c r="BO54" s="338"/>
      <c r="BP54" s="35"/>
      <c r="BQ54" s="161"/>
      <c r="BR54" s="161"/>
      <c r="BS54" s="92"/>
      <c r="BT54" s="7"/>
    </row>
    <row r="55" spans="1:72">
      <c r="A55" s="35">
        <v>6</v>
      </c>
      <c r="B55" s="266" t="s">
        <v>204</v>
      </c>
      <c r="C55" s="266"/>
      <c r="D55" s="266"/>
      <c r="E55" s="266"/>
      <c r="F55" s="267"/>
      <c r="G55" s="178">
        <v>0</v>
      </c>
      <c r="H55" s="179"/>
      <c r="I55" s="178">
        <f t="shared" si="33"/>
        <v>0</v>
      </c>
      <c r="J55" s="179"/>
      <c r="K55" s="178">
        <f t="shared" si="34"/>
        <v>0</v>
      </c>
      <c r="L55" s="179"/>
      <c r="M55" s="178">
        <f t="shared" si="44"/>
        <v>0</v>
      </c>
      <c r="N55" s="179"/>
      <c r="O55" s="178">
        <f t="shared" si="35"/>
        <v>0</v>
      </c>
      <c r="P55" s="179"/>
      <c r="Q55" s="178">
        <f t="shared" si="36"/>
        <v>0</v>
      </c>
      <c r="R55" s="179"/>
      <c r="S55" s="178">
        <f t="shared" si="37"/>
        <v>0</v>
      </c>
      <c r="T55" s="179"/>
      <c r="U55" s="178">
        <f t="shared" si="38"/>
        <v>0</v>
      </c>
      <c r="V55" s="179"/>
      <c r="W55" s="178">
        <f t="shared" si="39"/>
        <v>0</v>
      </c>
      <c r="X55" s="179"/>
      <c r="Y55" s="178">
        <f t="shared" si="40"/>
        <v>0</v>
      </c>
      <c r="Z55" s="179"/>
      <c r="AA55" s="178">
        <f t="shared" si="41"/>
        <v>0</v>
      </c>
      <c r="AB55" s="179"/>
      <c r="AC55" s="178">
        <f t="shared" si="42"/>
        <v>0</v>
      </c>
      <c r="AD55" s="179"/>
      <c r="AE55" s="217"/>
      <c r="AF55" s="218"/>
      <c r="AG55" s="160">
        <v>150000</v>
      </c>
      <c r="AH55" s="161"/>
      <c r="AI55" s="177"/>
      <c r="AJ55" s="34"/>
      <c r="AK55" s="3"/>
      <c r="AL55" s="56"/>
      <c r="AM55" s="350">
        <v>0</v>
      </c>
      <c r="AN55" s="351"/>
      <c r="AO55" s="98"/>
      <c r="AP55" s="352">
        <v>250000</v>
      </c>
      <c r="AQ55" s="353"/>
      <c r="AR55" s="354"/>
      <c r="AS55" s="355" t="s">
        <v>149</v>
      </c>
      <c r="AT55" s="356"/>
      <c r="AU55" s="356"/>
      <c r="AV55" s="330"/>
      <c r="AW55" s="330"/>
      <c r="AX55" s="331"/>
      <c r="AY55" s="355" t="s">
        <v>149</v>
      </c>
      <c r="AZ55" s="330"/>
      <c r="BA55" s="330"/>
      <c r="BB55" s="330"/>
      <c r="BC55" s="330"/>
      <c r="BD55" s="331"/>
      <c r="BE55" s="376" t="str">
        <f>IF(OR(D6="Others",D6="Women",D6=""),"OTHERS","SENIOR CITIZEN")</f>
        <v>OTHERS</v>
      </c>
      <c r="BF55" s="133"/>
      <c r="BG55" s="135"/>
      <c r="BH55" s="78" t="s">
        <v>25</v>
      </c>
      <c r="BI55" s="381">
        <f>IF(OR(BQ51="",BQ51=0),0,IF(BQ51&gt;AP55,AP55,BQ51))</f>
        <v>250000</v>
      </c>
      <c r="BJ55" s="138"/>
      <c r="BK55" s="139"/>
      <c r="BL55" s="79">
        <f>IF(BE55="OTHERS",0%,0%)</f>
        <v>0</v>
      </c>
      <c r="BM55" s="382">
        <f>ROUND(BI55*BL55,0)</f>
        <v>0</v>
      </c>
      <c r="BN55" s="138"/>
      <c r="BO55" s="139"/>
      <c r="BP55" s="35"/>
      <c r="BQ55" s="161"/>
      <c r="BR55" s="161"/>
      <c r="BS55" s="92"/>
      <c r="BT55" s="7"/>
    </row>
    <row r="56" spans="1:72">
      <c r="A56" s="347" t="s">
        <v>150</v>
      </c>
      <c r="B56" s="138"/>
      <c r="C56" s="138"/>
      <c r="D56" s="138"/>
      <c r="E56" s="138"/>
      <c r="F56" s="139"/>
      <c r="G56" s="348">
        <f>SUM(G50:H55)</f>
        <v>0</v>
      </c>
      <c r="H56" s="349"/>
      <c r="I56" s="348">
        <f>SUM(I50:J55)</f>
        <v>0</v>
      </c>
      <c r="J56" s="349"/>
      <c r="K56" s="348">
        <f>SUM(K50:L55)</f>
        <v>0</v>
      </c>
      <c r="L56" s="349"/>
      <c r="M56" s="348">
        <f>SUM(M50:N55)</f>
        <v>0</v>
      </c>
      <c r="N56" s="349"/>
      <c r="O56" s="348">
        <f>SUM(O50:P55)</f>
        <v>0</v>
      </c>
      <c r="P56" s="349"/>
      <c r="Q56" s="348">
        <f>SUM(Q50:R55)</f>
        <v>0</v>
      </c>
      <c r="R56" s="349"/>
      <c r="S56" s="348">
        <f>SUM(S50:T55)</f>
        <v>0</v>
      </c>
      <c r="T56" s="349"/>
      <c r="U56" s="348">
        <f>SUM(U50:V55)</f>
        <v>0</v>
      </c>
      <c r="V56" s="349"/>
      <c r="W56" s="348">
        <f>SUM(W50:X55)</f>
        <v>0</v>
      </c>
      <c r="X56" s="349"/>
      <c r="Y56" s="348">
        <f>SUM(Y50:Z55)</f>
        <v>0</v>
      </c>
      <c r="Z56" s="349"/>
      <c r="AA56" s="348">
        <f>SUM(AA50:AB55)</f>
        <v>0</v>
      </c>
      <c r="AB56" s="349"/>
      <c r="AC56" s="348">
        <f>SUM(AC50:AD55)</f>
        <v>0</v>
      </c>
      <c r="AD56" s="349"/>
      <c r="AE56" s="348">
        <f>SUM(AE50:AF55)</f>
        <v>0</v>
      </c>
      <c r="AF56" s="349"/>
      <c r="AG56" s="136">
        <f t="shared" si="43"/>
        <v>0</v>
      </c>
      <c r="AH56" s="137"/>
      <c r="AI56" s="276"/>
      <c r="AJ56" s="34"/>
      <c r="AK56" s="3"/>
      <c r="AL56" s="56"/>
      <c r="AM56" s="357">
        <f>AP55+1</f>
        <v>250001</v>
      </c>
      <c r="AN56" s="358"/>
      <c r="AO56" s="135"/>
      <c r="AP56" s="361">
        <v>300000</v>
      </c>
      <c r="AQ56" s="362"/>
      <c r="AR56" s="363"/>
      <c r="AS56" s="367" t="s">
        <v>149</v>
      </c>
      <c r="AT56" s="368"/>
      <c r="AU56" s="368"/>
      <c r="AV56" s="335"/>
      <c r="AW56" s="335"/>
      <c r="AX56" s="257"/>
      <c r="AY56" s="367" t="str">
        <f>CONCATENATE("5% of Income exceeding Rs.",AP55)</f>
        <v>5% of Income exceeding Rs.250000</v>
      </c>
      <c r="AZ56" s="335"/>
      <c r="BA56" s="335"/>
      <c r="BB56" s="335"/>
      <c r="BC56" s="335"/>
      <c r="BD56" s="257"/>
      <c r="BE56" s="377"/>
      <c r="BF56" s="378"/>
      <c r="BG56" s="379"/>
      <c r="BH56" s="385" t="s">
        <v>25</v>
      </c>
      <c r="BI56" s="387">
        <f>IF(OR(BQ51="",BQ51=0),0,IF((BQ51-BI55)&gt;(AP56-AP55),(AP56-AP55),(BQ51-BI55)))</f>
        <v>50000</v>
      </c>
      <c r="BJ56" s="157"/>
      <c r="BK56" s="158"/>
      <c r="BL56" s="389">
        <v>0.05</v>
      </c>
      <c r="BM56" s="391">
        <f>ROUND(BI56*BL56,0)</f>
        <v>2500</v>
      </c>
      <c r="BN56" s="157"/>
      <c r="BO56" s="158"/>
      <c r="BP56" s="35"/>
      <c r="BQ56" s="161"/>
      <c r="BR56" s="161"/>
      <c r="BS56" s="92"/>
      <c r="BT56" s="7"/>
    </row>
    <row r="57" spans="1:72">
      <c r="A57" s="285" t="s">
        <v>151</v>
      </c>
      <c r="B57" s="200"/>
      <c r="C57" s="200"/>
      <c r="D57" s="200"/>
      <c r="E57" s="200"/>
      <c r="F57" s="286"/>
      <c r="G57" s="348">
        <f>SUM(G22,G30)</f>
        <v>0</v>
      </c>
      <c r="H57" s="349"/>
      <c r="I57" s="371">
        <f>SUM(I22,I30)</f>
        <v>0</v>
      </c>
      <c r="J57" s="372"/>
      <c r="K57" s="371">
        <f>SUM(K22,K30)</f>
        <v>0</v>
      </c>
      <c r="L57" s="372"/>
      <c r="M57" s="371">
        <f>SUM(M22,M30)</f>
        <v>0</v>
      </c>
      <c r="N57" s="372"/>
      <c r="O57" s="371">
        <f>SUM(O22,O30)</f>
        <v>0</v>
      </c>
      <c r="P57" s="372"/>
      <c r="Q57" s="371">
        <f>SUM(Q22,Q30)</f>
        <v>0</v>
      </c>
      <c r="R57" s="372"/>
      <c r="S57" s="371">
        <f>SUM(S22,S30)</f>
        <v>0</v>
      </c>
      <c r="T57" s="372"/>
      <c r="U57" s="371">
        <f>SUM(U22,U30)</f>
        <v>0</v>
      </c>
      <c r="V57" s="372"/>
      <c r="W57" s="371">
        <f>SUM(W22,W30)</f>
        <v>0</v>
      </c>
      <c r="X57" s="372"/>
      <c r="Y57" s="371">
        <f>SUM(Y22,Y30)</f>
        <v>0</v>
      </c>
      <c r="Z57" s="372"/>
      <c r="AA57" s="371">
        <f>SUM(AA22,AA30)</f>
        <v>0</v>
      </c>
      <c r="AB57" s="372"/>
      <c r="AC57" s="371">
        <f>SUM(AC22,AC30)</f>
        <v>0</v>
      </c>
      <c r="AD57" s="372"/>
      <c r="AE57" s="348">
        <f>SUM(AE22,AE30)</f>
        <v>0</v>
      </c>
      <c r="AF57" s="349"/>
      <c r="AG57" s="373">
        <f t="shared" si="43"/>
        <v>0</v>
      </c>
      <c r="AH57" s="374"/>
      <c r="AI57" s="375"/>
      <c r="AJ57" s="80"/>
      <c r="AK57" s="3"/>
      <c r="AL57" s="56"/>
      <c r="AM57" s="359"/>
      <c r="AN57" s="360"/>
      <c r="AO57" s="346"/>
      <c r="AP57" s="364"/>
      <c r="AQ57" s="365"/>
      <c r="AR57" s="366"/>
      <c r="AS57" s="369"/>
      <c r="AT57" s="370"/>
      <c r="AU57" s="370"/>
      <c r="AV57" s="337"/>
      <c r="AW57" s="337"/>
      <c r="AX57" s="338"/>
      <c r="AY57" s="384"/>
      <c r="AZ57" s="337"/>
      <c r="BA57" s="337"/>
      <c r="BB57" s="337"/>
      <c r="BC57" s="337"/>
      <c r="BD57" s="338"/>
      <c r="BE57" s="377"/>
      <c r="BF57" s="378"/>
      <c r="BG57" s="379"/>
      <c r="BH57" s="386"/>
      <c r="BI57" s="388"/>
      <c r="BJ57" s="226"/>
      <c r="BK57" s="195"/>
      <c r="BL57" s="390"/>
      <c r="BM57" s="392"/>
      <c r="BN57" s="226"/>
      <c r="BO57" s="195"/>
      <c r="BP57" s="35"/>
      <c r="BQ57" s="161"/>
      <c r="BR57" s="161"/>
      <c r="BS57" s="92"/>
      <c r="BT57" s="7"/>
    </row>
    <row r="58" spans="1:72">
      <c r="A58" s="285" t="s">
        <v>152</v>
      </c>
      <c r="B58" s="200"/>
      <c r="C58" s="200"/>
      <c r="D58" s="200"/>
      <c r="E58" s="200"/>
      <c r="F58" s="200"/>
      <c r="G58" s="138"/>
      <c r="H58" s="138"/>
      <c r="I58" s="138"/>
      <c r="J58" s="138"/>
      <c r="K58" s="138"/>
      <c r="L58" s="138"/>
      <c r="M58" s="138"/>
      <c r="N58" s="138"/>
      <c r="O58" s="383"/>
      <c r="P58" s="383"/>
      <c r="Q58" s="383"/>
      <c r="R58" s="383"/>
      <c r="S58" s="383"/>
      <c r="T58" s="383"/>
      <c r="U58" s="383"/>
      <c r="V58" s="383"/>
      <c r="W58" s="383"/>
      <c r="X58" s="383"/>
      <c r="Y58" s="383"/>
      <c r="Z58" s="383"/>
      <c r="AA58" s="383"/>
      <c r="AB58" s="383"/>
      <c r="AC58" s="383"/>
      <c r="AD58" s="383"/>
      <c r="AE58" s="383"/>
      <c r="AF58" s="349"/>
      <c r="AG58" s="373">
        <f>SUM(AG56,AG57)</f>
        <v>0</v>
      </c>
      <c r="AH58" s="374"/>
      <c r="AI58" s="375"/>
      <c r="AJ58" s="34"/>
      <c r="AK58" s="3"/>
      <c r="AL58" s="56"/>
      <c r="AM58" s="357">
        <f>AP56+1</f>
        <v>300001</v>
      </c>
      <c r="AN58" s="358"/>
      <c r="AO58" s="135"/>
      <c r="AP58" s="361">
        <v>500000</v>
      </c>
      <c r="AQ58" s="362"/>
      <c r="AR58" s="363"/>
      <c r="AS58" s="367" t="str">
        <f>CONCATENATE("5% of Income exceeding Rs.",AP56)</f>
        <v>5% of Income exceeding Rs.300000</v>
      </c>
      <c r="AT58" s="368"/>
      <c r="AU58" s="368"/>
      <c r="AV58" s="335"/>
      <c r="AW58" s="335"/>
      <c r="AX58" s="257"/>
      <c r="AY58" s="393" t="s">
        <v>153</v>
      </c>
      <c r="AZ58" s="335"/>
      <c r="BA58" s="335"/>
      <c r="BB58" s="335"/>
      <c r="BC58" s="335"/>
      <c r="BD58" s="257"/>
      <c r="BE58" s="377"/>
      <c r="BF58" s="378"/>
      <c r="BG58" s="379"/>
      <c r="BH58" s="385" t="s">
        <v>25</v>
      </c>
      <c r="BI58" s="387">
        <f>IF(OR(BQ51="",BQ51=0),0,IF((BQ51-(BI55+BI56))&gt;(AP58-AP56),(AP58-AP56),(BQ51-(BI55+BI56))))</f>
        <v>98270</v>
      </c>
      <c r="BJ58" s="157"/>
      <c r="BK58" s="158"/>
      <c r="BL58" s="389">
        <v>0.05</v>
      </c>
      <c r="BM58" s="391">
        <f>ROUND(BI58*BL58,0)</f>
        <v>4914</v>
      </c>
      <c r="BN58" s="157"/>
      <c r="BO58" s="158"/>
      <c r="BP58" s="35"/>
      <c r="BQ58" s="161"/>
      <c r="BR58" s="161"/>
      <c r="BS58" s="92"/>
      <c r="BT58" s="7"/>
    </row>
    <row r="59" spans="1:72">
      <c r="A59" s="285" t="s">
        <v>154</v>
      </c>
      <c r="B59" s="200"/>
      <c r="C59" s="200"/>
      <c r="D59" s="200"/>
      <c r="E59" s="200"/>
      <c r="F59" s="286"/>
      <c r="G59" s="348">
        <v>0</v>
      </c>
      <c r="H59" s="349"/>
      <c r="I59" s="371">
        <v>0</v>
      </c>
      <c r="J59" s="372"/>
      <c r="K59" s="371">
        <v>0</v>
      </c>
      <c r="L59" s="372"/>
      <c r="M59" s="371">
        <v>0</v>
      </c>
      <c r="N59" s="372"/>
      <c r="O59" s="371">
        <v>0</v>
      </c>
      <c r="P59" s="372"/>
      <c r="Q59" s="371">
        <v>0</v>
      </c>
      <c r="R59" s="372"/>
      <c r="S59" s="371">
        <v>0</v>
      </c>
      <c r="T59" s="372"/>
      <c r="U59" s="371">
        <v>0</v>
      </c>
      <c r="V59" s="372"/>
      <c r="W59" s="371">
        <v>0</v>
      </c>
      <c r="X59" s="372"/>
      <c r="Y59" s="371">
        <v>0</v>
      </c>
      <c r="Z59" s="372"/>
      <c r="AA59" s="371">
        <v>0</v>
      </c>
      <c r="AB59" s="372"/>
      <c r="AC59" s="371">
        <v>0</v>
      </c>
      <c r="AD59" s="372"/>
      <c r="AE59" s="348">
        <f>AE57</f>
        <v>0</v>
      </c>
      <c r="AF59" s="349"/>
      <c r="AG59" s="373">
        <f>SUM(G59:AF59)</f>
        <v>0</v>
      </c>
      <c r="AH59" s="374"/>
      <c r="AI59" s="375"/>
      <c r="AJ59" s="80"/>
      <c r="AK59" s="3"/>
      <c r="AL59" s="56"/>
      <c r="AM59" s="359"/>
      <c r="AN59" s="360"/>
      <c r="AO59" s="346"/>
      <c r="AP59" s="364"/>
      <c r="AQ59" s="365"/>
      <c r="AR59" s="366"/>
      <c r="AS59" s="369"/>
      <c r="AT59" s="370"/>
      <c r="AU59" s="370"/>
      <c r="AV59" s="337"/>
      <c r="AW59" s="337"/>
      <c r="AX59" s="338"/>
      <c r="AY59" s="384"/>
      <c r="AZ59" s="337"/>
      <c r="BA59" s="337"/>
      <c r="BB59" s="337"/>
      <c r="BC59" s="337"/>
      <c r="BD59" s="338"/>
      <c r="BE59" s="377"/>
      <c r="BF59" s="378"/>
      <c r="BG59" s="379"/>
      <c r="BH59" s="386"/>
      <c r="BI59" s="388"/>
      <c r="BJ59" s="226"/>
      <c r="BK59" s="195"/>
      <c r="BL59" s="390"/>
      <c r="BM59" s="392"/>
      <c r="BN59" s="226"/>
      <c r="BO59" s="195"/>
      <c r="BP59" s="35"/>
      <c r="BQ59" s="161"/>
      <c r="BR59" s="161"/>
      <c r="BS59" s="92"/>
      <c r="BT59" s="7"/>
    </row>
    <row r="60" spans="1:72">
      <c r="A60" s="285" t="s">
        <v>155</v>
      </c>
      <c r="B60" s="200"/>
      <c r="C60" s="200"/>
      <c r="D60" s="200"/>
      <c r="E60" s="200"/>
      <c r="F60" s="286"/>
      <c r="G60" s="306">
        <f>IF((AG58&gt;150000),IF((AG57&gt;150000),(AG57-150000),0),0)</f>
        <v>0</v>
      </c>
      <c r="H60" s="308"/>
      <c r="I60" s="184"/>
      <c r="J60" s="185"/>
      <c r="K60" s="184"/>
      <c r="L60" s="185"/>
      <c r="M60" s="184"/>
      <c r="N60" s="185"/>
      <c r="O60" s="184"/>
      <c r="P60" s="185"/>
      <c r="Q60" s="184"/>
      <c r="R60" s="185"/>
      <c r="S60" s="184"/>
      <c r="T60" s="185"/>
      <c r="U60" s="184"/>
      <c r="V60" s="185"/>
      <c r="W60" s="184"/>
      <c r="X60" s="185"/>
      <c r="Y60" s="184"/>
      <c r="Z60" s="185"/>
      <c r="AA60" s="184">
        <v>0</v>
      </c>
      <c r="AB60" s="185"/>
      <c r="AC60" s="184"/>
      <c r="AD60" s="185"/>
      <c r="AE60" s="293"/>
      <c r="AF60" s="294"/>
      <c r="AG60" s="136">
        <f>SUM(G60:AF60)</f>
        <v>0</v>
      </c>
      <c r="AH60" s="137"/>
      <c r="AI60" s="276"/>
      <c r="AJ60" s="80"/>
      <c r="AK60" s="3"/>
      <c r="AL60" s="56"/>
      <c r="AM60" s="357">
        <f>AP58+1</f>
        <v>500001</v>
      </c>
      <c r="AN60" s="358"/>
      <c r="AO60" s="135"/>
      <c r="AP60" s="361">
        <v>1000000</v>
      </c>
      <c r="AQ60" s="362"/>
      <c r="AR60" s="363"/>
      <c r="AS60" s="367" t="str">
        <f>CONCATENATE((AP58-AP56)*BL58,"+20% of Income exceeding Rs.",AP58)</f>
        <v>10000+20% of Income exceeding Rs.500000</v>
      </c>
      <c r="AT60" s="368"/>
      <c r="AU60" s="368"/>
      <c r="AV60" s="335"/>
      <c r="AW60" s="335"/>
      <c r="AX60" s="257"/>
      <c r="AY60" s="367" t="str">
        <f>CONCATENATE((AP58-AP55)*BL58,"+20% of Income exceeding Rs.",AP58)</f>
        <v>12500+20% of Income exceeding Rs.500000</v>
      </c>
      <c r="AZ60" s="335"/>
      <c r="BA60" s="335"/>
      <c r="BB60" s="335"/>
      <c r="BC60" s="335"/>
      <c r="BD60" s="257"/>
      <c r="BE60" s="377"/>
      <c r="BF60" s="378"/>
      <c r="BG60" s="379"/>
      <c r="BH60" s="385" t="s">
        <v>25</v>
      </c>
      <c r="BI60" s="387">
        <f>IF(OR(BQ51="",BQ51=0),0,IF((BQ51-(BI55+BI56+BI58))&gt;(AP60-AP58),(AP60-AP58),(BQ51-(BI55+BI56+BI58))))</f>
        <v>0</v>
      </c>
      <c r="BJ60" s="157"/>
      <c r="BK60" s="158"/>
      <c r="BL60" s="389">
        <f>IF(BE55="OTHERS",20%,20%)</f>
        <v>0.2</v>
      </c>
      <c r="BM60" s="391">
        <f>ROUND(BI60*BL60,0)</f>
        <v>0</v>
      </c>
      <c r="BN60" s="157"/>
      <c r="BO60" s="158"/>
      <c r="BP60" s="35"/>
      <c r="BQ60" s="161"/>
      <c r="BR60" s="161"/>
      <c r="BS60" s="92"/>
      <c r="BT60" s="7"/>
    </row>
    <row r="61" spans="1:72">
      <c r="A61" s="285" t="s">
        <v>156</v>
      </c>
      <c r="B61" s="200"/>
      <c r="C61" s="200"/>
      <c r="D61" s="200"/>
      <c r="E61" s="200"/>
      <c r="F61" s="286"/>
      <c r="G61" s="184"/>
      <c r="H61" s="185"/>
      <c r="I61" s="184"/>
      <c r="J61" s="185"/>
      <c r="K61" s="184"/>
      <c r="L61" s="185"/>
      <c r="M61" s="184"/>
      <c r="N61" s="185"/>
      <c r="O61" s="184"/>
      <c r="P61" s="185"/>
      <c r="Q61" s="184"/>
      <c r="R61" s="185"/>
      <c r="S61" s="184"/>
      <c r="T61" s="185"/>
      <c r="U61" s="184"/>
      <c r="V61" s="185"/>
      <c r="W61" s="184"/>
      <c r="X61" s="185"/>
      <c r="Y61" s="184"/>
      <c r="Z61" s="185"/>
      <c r="AA61" s="184"/>
      <c r="AB61" s="185"/>
      <c r="AC61" s="184"/>
      <c r="AD61" s="185"/>
      <c r="AE61" s="293"/>
      <c r="AF61" s="294"/>
      <c r="AG61" s="136">
        <f>SUM(G61:AF61)</f>
        <v>0</v>
      </c>
      <c r="AH61" s="137"/>
      <c r="AI61" s="276"/>
      <c r="AJ61" s="34"/>
      <c r="AK61" s="3"/>
      <c r="AL61" s="56"/>
      <c r="AM61" s="359"/>
      <c r="AN61" s="360"/>
      <c r="AO61" s="346"/>
      <c r="AP61" s="364"/>
      <c r="AQ61" s="365"/>
      <c r="AR61" s="366"/>
      <c r="AS61" s="369"/>
      <c r="AT61" s="370"/>
      <c r="AU61" s="370"/>
      <c r="AV61" s="337"/>
      <c r="AW61" s="337"/>
      <c r="AX61" s="338"/>
      <c r="AY61" s="384"/>
      <c r="AZ61" s="337"/>
      <c r="BA61" s="337"/>
      <c r="BB61" s="337"/>
      <c r="BC61" s="337"/>
      <c r="BD61" s="338"/>
      <c r="BE61" s="377"/>
      <c r="BF61" s="378"/>
      <c r="BG61" s="379"/>
      <c r="BH61" s="386"/>
      <c r="BI61" s="388"/>
      <c r="BJ61" s="226"/>
      <c r="BK61" s="195"/>
      <c r="BL61" s="390"/>
      <c r="BM61" s="392"/>
      <c r="BN61" s="226"/>
      <c r="BO61" s="195"/>
      <c r="BP61" s="35"/>
      <c r="BQ61" s="161"/>
      <c r="BR61" s="161"/>
      <c r="BS61" s="92"/>
      <c r="BT61" s="7"/>
    </row>
    <row r="62" spans="1:72">
      <c r="A62" s="285" t="s">
        <v>157</v>
      </c>
      <c r="B62" s="200"/>
      <c r="C62" s="200"/>
      <c r="D62" s="200"/>
      <c r="E62" s="200"/>
      <c r="F62" s="286"/>
      <c r="G62" s="184"/>
      <c r="H62" s="185"/>
      <c r="I62" s="184"/>
      <c r="J62" s="185"/>
      <c r="K62" s="184"/>
      <c r="L62" s="185"/>
      <c r="M62" s="184"/>
      <c r="N62" s="185"/>
      <c r="O62" s="184"/>
      <c r="P62" s="185"/>
      <c r="Q62" s="184"/>
      <c r="R62" s="185"/>
      <c r="S62" s="184"/>
      <c r="T62" s="185"/>
      <c r="U62" s="184"/>
      <c r="V62" s="185"/>
      <c r="W62" s="184"/>
      <c r="X62" s="185"/>
      <c r="Y62" s="184"/>
      <c r="Z62" s="185"/>
      <c r="AA62" s="184"/>
      <c r="AB62" s="185"/>
      <c r="AC62" s="184"/>
      <c r="AD62" s="185"/>
      <c r="AE62" s="293"/>
      <c r="AF62" s="294"/>
      <c r="AG62" s="285">
        <f t="shared" ref="AG62:AG68" si="45">SUM(G62:AF62)</f>
        <v>0</v>
      </c>
      <c r="AH62" s="200"/>
      <c r="AI62" s="286"/>
      <c r="AJ62" s="4"/>
      <c r="AK62" s="23"/>
      <c r="AL62" s="56"/>
      <c r="AM62" s="357">
        <f>AP60+1</f>
        <v>1000001</v>
      </c>
      <c r="AN62" s="358"/>
      <c r="AO62" s="135"/>
      <c r="AP62" s="361" t="s">
        <v>158</v>
      </c>
      <c r="AQ62" s="362"/>
      <c r="AR62" s="363"/>
      <c r="AS62" s="367" t="str">
        <f>CONCATENATE(((AP58-AP56)*BL58)+((AP60-AP58)*BL60),"+30% of Income exceeding Rs.",AP60)</f>
        <v>110000+30% of Income exceeding Rs.1000000</v>
      </c>
      <c r="AT62" s="368"/>
      <c r="AU62" s="368"/>
      <c r="AV62" s="335"/>
      <c r="AW62" s="335"/>
      <c r="AX62" s="257"/>
      <c r="AY62" s="367" t="str">
        <f>CONCATENATE(((AP58-AP55)*BL58)+((AP60-AP58)*BL60),"+30% of Income exceeding Rs.",AP60)</f>
        <v>112500+30% of Income exceeding Rs.1000000</v>
      </c>
      <c r="AZ62" s="335"/>
      <c r="BA62" s="335"/>
      <c r="BB62" s="335"/>
      <c r="BC62" s="335"/>
      <c r="BD62" s="257"/>
      <c r="BE62" s="377"/>
      <c r="BF62" s="378"/>
      <c r="BG62" s="379"/>
      <c r="BH62" s="385" t="s">
        <v>25</v>
      </c>
      <c r="BI62" s="387">
        <f>IF(OR(BQ51="",BQ51=0),0,IF(BQ51&gt;(BI55+BI56+BI58+BI60),BQ51-(BI55+BI56+BI58+BI60),0))</f>
        <v>0</v>
      </c>
      <c r="BJ62" s="157"/>
      <c r="BK62" s="158"/>
      <c r="BL62" s="389">
        <f>IF(BE55="OTHERS",30%,30%)</f>
        <v>0.3</v>
      </c>
      <c r="BM62" s="391">
        <f>ROUND(BI62*BL62,0)</f>
        <v>0</v>
      </c>
      <c r="BN62" s="157"/>
      <c r="BO62" s="158"/>
      <c r="BP62" s="35"/>
      <c r="BQ62" s="161"/>
      <c r="BR62" s="161"/>
      <c r="BS62" s="92"/>
      <c r="BT62" s="7"/>
    </row>
    <row r="63" spans="1:72">
      <c r="A63" s="285" t="s">
        <v>159</v>
      </c>
      <c r="B63" s="200"/>
      <c r="C63" s="200"/>
      <c r="D63" s="200"/>
      <c r="E63" s="200"/>
      <c r="F63" s="286"/>
      <c r="G63" s="348">
        <v>0</v>
      </c>
      <c r="H63" s="349"/>
      <c r="I63" s="348">
        <v>0</v>
      </c>
      <c r="J63" s="349"/>
      <c r="K63" s="348">
        <v>0</v>
      </c>
      <c r="L63" s="349"/>
      <c r="M63" s="348">
        <v>0</v>
      </c>
      <c r="N63" s="349"/>
      <c r="O63" s="348">
        <v>0</v>
      </c>
      <c r="P63" s="349"/>
      <c r="Q63" s="348">
        <v>0</v>
      </c>
      <c r="R63" s="349"/>
      <c r="S63" s="348">
        <v>0</v>
      </c>
      <c r="T63" s="349"/>
      <c r="U63" s="348">
        <v>0</v>
      </c>
      <c r="V63" s="349"/>
      <c r="W63" s="348">
        <v>0</v>
      </c>
      <c r="X63" s="349"/>
      <c r="Y63" s="348">
        <v>0</v>
      </c>
      <c r="Z63" s="349"/>
      <c r="AA63" s="348">
        <v>0</v>
      </c>
      <c r="AB63" s="349"/>
      <c r="AC63" s="348">
        <v>0</v>
      </c>
      <c r="AD63" s="349"/>
      <c r="AE63" s="394"/>
      <c r="AF63" s="395"/>
      <c r="AG63" s="285">
        <f t="shared" si="45"/>
        <v>0</v>
      </c>
      <c r="AH63" s="200"/>
      <c r="AI63" s="286"/>
      <c r="AJ63" s="34"/>
      <c r="AK63" s="40"/>
      <c r="AL63" s="56"/>
      <c r="AM63" s="359"/>
      <c r="AN63" s="360"/>
      <c r="AO63" s="346"/>
      <c r="AP63" s="364"/>
      <c r="AQ63" s="365"/>
      <c r="AR63" s="366"/>
      <c r="AS63" s="369"/>
      <c r="AT63" s="370"/>
      <c r="AU63" s="370"/>
      <c r="AV63" s="337"/>
      <c r="AW63" s="337"/>
      <c r="AX63" s="338"/>
      <c r="AY63" s="384"/>
      <c r="AZ63" s="337"/>
      <c r="BA63" s="337"/>
      <c r="BB63" s="337"/>
      <c r="BC63" s="337"/>
      <c r="BD63" s="338"/>
      <c r="BE63" s="380"/>
      <c r="BF63" s="345"/>
      <c r="BG63" s="346"/>
      <c r="BH63" s="386"/>
      <c r="BI63" s="388"/>
      <c r="BJ63" s="226"/>
      <c r="BK63" s="195"/>
      <c r="BL63" s="390"/>
      <c r="BM63" s="392"/>
      <c r="BN63" s="226"/>
      <c r="BO63" s="195"/>
      <c r="BP63" s="35"/>
      <c r="BQ63" s="161"/>
      <c r="BR63" s="161"/>
      <c r="BS63" s="92"/>
      <c r="BT63" s="7"/>
    </row>
    <row r="64" spans="1:72">
      <c r="A64" s="285" t="s">
        <v>160</v>
      </c>
      <c r="B64" s="200"/>
      <c r="C64" s="200"/>
      <c r="D64" s="200"/>
      <c r="E64" s="200"/>
      <c r="F64" s="286"/>
      <c r="G64" s="348">
        <f>SUM(G62:H63)</f>
        <v>0</v>
      </c>
      <c r="H64" s="349"/>
      <c r="I64" s="348">
        <f>SUM(I62:J63)</f>
        <v>0</v>
      </c>
      <c r="J64" s="349"/>
      <c r="K64" s="348">
        <f>SUM(K62:L63)</f>
        <v>0</v>
      </c>
      <c r="L64" s="349"/>
      <c r="M64" s="348">
        <f>SUM(M62:N63)</f>
        <v>0</v>
      </c>
      <c r="N64" s="349"/>
      <c r="O64" s="348">
        <f>SUM(O62:P63)</f>
        <v>0</v>
      </c>
      <c r="P64" s="349"/>
      <c r="Q64" s="348">
        <f>SUM(Q62:R63)</f>
        <v>0</v>
      </c>
      <c r="R64" s="349"/>
      <c r="S64" s="348">
        <f>SUM(S62:T63)</f>
        <v>0</v>
      </c>
      <c r="T64" s="349"/>
      <c r="U64" s="348">
        <f>SUM(U62:V63)</f>
        <v>0</v>
      </c>
      <c r="V64" s="349"/>
      <c r="W64" s="348">
        <f>SUM(W62:X63)</f>
        <v>0</v>
      </c>
      <c r="X64" s="349"/>
      <c r="Y64" s="348">
        <f>SUM(Y62:Z63)</f>
        <v>0</v>
      </c>
      <c r="Z64" s="349"/>
      <c r="AA64" s="348">
        <f>SUM(AA62:AB63)</f>
        <v>0</v>
      </c>
      <c r="AB64" s="349"/>
      <c r="AC64" s="348">
        <f>SUM(AC62:AD63)</f>
        <v>0</v>
      </c>
      <c r="AD64" s="349"/>
      <c r="AE64" s="348">
        <f>SUM(AE62:AF63)</f>
        <v>0</v>
      </c>
      <c r="AF64" s="349"/>
      <c r="AG64" s="136">
        <f>SUM(G64:AF64)</f>
        <v>0</v>
      </c>
      <c r="AH64" s="137"/>
      <c r="AI64" s="276"/>
      <c r="AJ64" s="4"/>
      <c r="AK64" s="40"/>
      <c r="AL64" s="56"/>
      <c r="AM64" s="399" t="s">
        <v>161</v>
      </c>
      <c r="AN64" s="400"/>
      <c r="AO64" s="400"/>
      <c r="AP64" s="400"/>
      <c r="AQ64" s="400"/>
      <c r="AR64" s="400"/>
      <c r="AS64" s="400"/>
      <c r="AT64" s="400"/>
      <c r="AU64" s="400"/>
      <c r="AV64" s="400"/>
      <c r="AW64" s="401"/>
      <c r="AX64" s="401"/>
      <c r="AY64" s="401"/>
      <c r="AZ64" s="401"/>
      <c r="BA64" s="401"/>
      <c r="BB64" s="401"/>
      <c r="BC64" s="401"/>
      <c r="BD64" s="401"/>
      <c r="BE64" s="401"/>
      <c r="BF64" s="401"/>
      <c r="BG64" s="402"/>
      <c r="BH64" s="81" t="s">
        <v>25</v>
      </c>
      <c r="BI64" s="403">
        <f>SUM(BI55:BI63)</f>
        <v>398270</v>
      </c>
      <c r="BJ64" s="138"/>
      <c r="BK64" s="139"/>
      <c r="BL64" s="82" t="s">
        <v>25</v>
      </c>
      <c r="BM64" s="398">
        <f>SUM(BM55:BM63)</f>
        <v>7414</v>
      </c>
      <c r="BN64" s="138"/>
      <c r="BO64" s="139"/>
      <c r="BP64" s="35"/>
      <c r="BQ64" s="161"/>
      <c r="BR64" s="161"/>
      <c r="BS64" s="92"/>
      <c r="BT64" s="7"/>
    </row>
    <row r="65" spans="1:72">
      <c r="A65" s="285" t="s">
        <v>162</v>
      </c>
      <c r="B65" s="200"/>
      <c r="C65" s="200"/>
      <c r="D65" s="200"/>
      <c r="E65" s="200"/>
      <c r="F65" s="286"/>
      <c r="G65" s="396"/>
      <c r="H65" s="397"/>
      <c r="I65" s="287"/>
      <c r="J65" s="288"/>
      <c r="K65" s="287"/>
      <c r="L65" s="288"/>
      <c r="M65" s="287"/>
      <c r="N65" s="288"/>
      <c r="O65" s="287"/>
      <c r="P65" s="288"/>
      <c r="Q65" s="287"/>
      <c r="R65" s="288"/>
      <c r="S65" s="287"/>
      <c r="T65" s="288"/>
      <c r="U65" s="287"/>
      <c r="V65" s="288"/>
      <c r="W65" s="287"/>
      <c r="X65" s="288"/>
      <c r="Y65" s="287"/>
      <c r="Z65" s="288"/>
      <c r="AA65" s="287"/>
      <c r="AB65" s="288"/>
      <c r="AC65" s="287"/>
      <c r="AD65" s="288"/>
      <c r="AE65" s="293"/>
      <c r="AF65" s="294"/>
      <c r="AG65" s="136">
        <f t="shared" si="45"/>
        <v>0</v>
      </c>
      <c r="AH65" s="137"/>
      <c r="AI65" s="276"/>
      <c r="AJ65" s="80"/>
      <c r="AK65" s="23"/>
      <c r="AL65" s="53">
        <v>13</v>
      </c>
      <c r="AM65" s="219" t="s">
        <v>163</v>
      </c>
      <c r="AN65" s="200"/>
      <c r="AO65" s="200"/>
      <c r="AP65" s="200"/>
      <c r="AQ65" s="200"/>
      <c r="AR65" s="200"/>
      <c r="AS65" s="200"/>
      <c r="AT65" s="200"/>
      <c r="AU65" s="200"/>
      <c r="AV65" s="200"/>
      <c r="AW65" s="200"/>
      <c r="AX65" s="200"/>
      <c r="AY65" s="200"/>
      <c r="AZ65" s="200"/>
      <c r="BA65" s="200"/>
      <c r="BB65" s="200"/>
      <c r="BC65" s="200"/>
      <c r="BD65" s="200"/>
      <c r="BE65" s="200"/>
      <c r="BF65" s="200"/>
      <c r="BG65" s="200"/>
      <c r="BH65" s="200"/>
      <c r="BI65" s="200"/>
      <c r="BJ65" s="59"/>
      <c r="BK65" s="159"/>
      <c r="BL65" s="286"/>
      <c r="BM65" s="59"/>
      <c r="BN65" s="159"/>
      <c r="BO65" s="286"/>
      <c r="BP65" s="83" t="s">
        <v>25</v>
      </c>
      <c r="BQ65" s="159">
        <f>IF(BQ51=0,0,IF(BQ51&lt;=350000,IF(BQ52&gt;=2500,2500,BQ52),0))</f>
        <v>0</v>
      </c>
      <c r="BR65" s="159"/>
      <c r="BS65" s="286"/>
      <c r="BT65" s="7"/>
    </row>
    <row r="66" spans="1:72">
      <c r="A66" s="285" t="s">
        <v>164</v>
      </c>
      <c r="B66" s="200"/>
      <c r="C66" s="200"/>
      <c r="D66" s="200"/>
      <c r="E66" s="200"/>
      <c r="F66" s="286"/>
      <c r="G66" s="396"/>
      <c r="H66" s="397"/>
      <c r="I66" s="396"/>
      <c r="J66" s="397"/>
      <c r="K66" s="396"/>
      <c r="L66" s="397"/>
      <c r="M66" s="396"/>
      <c r="N66" s="397"/>
      <c r="O66" s="396"/>
      <c r="P66" s="397"/>
      <c r="Q66" s="396"/>
      <c r="R66" s="397"/>
      <c r="S66" s="396"/>
      <c r="T66" s="397"/>
      <c r="U66" s="396"/>
      <c r="V66" s="397"/>
      <c r="W66" s="396"/>
      <c r="X66" s="397"/>
      <c r="Y66" s="396"/>
      <c r="Z66" s="397"/>
      <c r="AA66" s="396"/>
      <c r="AB66" s="397"/>
      <c r="AC66" s="396"/>
      <c r="AD66" s="397"/>
      <c r="AE66" s="293"/>
      <c r="AF66" s="294"/>
      <c r="AG66" s="136">
        <f t="shared" si="45"/>
        <v>0</v>
      </c>
      <c r="AH66" s="137"/>
      <c r="AI66" s="276"/>
      <c r="AJ66" s="34"/>
      <c r="AK66" s="23"/>
      <c r="AL66" s="53">
        <v>14</v>
      </c>
      <c r="AM66" s="219" t="s">
        <v>165</v>
      </c>
      <c r="AN66" s="200"/>
      <c r="AO66" s="200"/>
      <c r="AP66" s="200"/>
      <c r="AQ66" s="200"/>
      <c r="AR66" s="200"/>
      <c r="AS66" s="200"/>
      <c r="AT66" s="200"/>
      <c r="AU66" s="200"/>
      <c r="AV66" s="200"/>
      <c r="AW66" s="200"/>
      <c r="AX66" s="200"/>
      <c r="AY66" s="200"/>
      <c r="AZ66" s="200"/>
      <c r="BA66" s="200"/>
      <c r="BB66" s="200"/>
      <c r="BC66" s="200"/>
      <c r="BD66" s="200"/>
      <c r="BE66" s="200"/>
      <c r="BF66" s="200"/>
      <c r="BG66" s="200"/>
      <c r="BH66" s="200"/>
      <c r="BI66" s="286"/>
      <c r="BJ66" s="59"/>
      <c r="BK66" s="159"/>
      <c r="BL66" s="286"/>
      <c r="BM66" s="59"/>
      <c r="BN66" s="159"/>
      <c r="BO66" s="286"/>
      <c r="BP66" s="83" t="s">
        <v>25</v>
      </c>
      <c r="BQ66" s="250">
        <f>BQ52-BQ65</f>
        <v>7414</v>
      </c>
      <c r="BR66" s="250"/>
      <c r="BS66" s="286"/>
      <c r="BT66" s="7"/>
    </row>
    <row r="67" spans="1:72">
      <c r="A67" s="285" t="s">
        <v>166</v>
      </c>
      <c r="B67" s="200"/>
      <c r="C67" s="200"/>
      <c r="D67" s="200"/>
      <c r="E67" s="200"/>
      <c r="F67" s="286"/>
      <c r="G67" s="396"/>
      <c r="H67" s="397"/>
      <c r="I67" s="396"/>
      <c r="J67" s="397"/>
      <c r="K67" s="396"/>
      <c r="L67" s="397"/>
      <c r="M67" s="396"/>
      <c r="N67" s="397"/>
      <c r="O67" s="396"/>
      <c r="P67" s="397"/>
      <c r="Q67" s="396"/>
      <c r="R67" s="397"/>
      <c r="S67" s="396"/>
      <c r="T67" s="397"/>
      <c r="U67" s="396"/>
      <c r="V67" s="397"/>
      <c r="W67" s="396"/>
      <c r="X67" s="397"/>
      <c r="Y67" s="396"/>
      <c r="Z67" s="397"/>
      <c r="AA67" s="396"/>
      <c r="AB67" s="397"/>
      <c r="AC67" s="396"/>
      <c r="AD67" s="397"/>
      <c r="AE67" s="293"/>
      <c r="AF67" s="294"/>
      <c r="AG67" s="136">
        <f t="shared" si="45"/>
        <v>0</v>
      </c>
      <c r="AH67" s="137"/>
      <c r="AI67" s="276"/>
      <c r="AJ67" s="80"/>
      <c r="AK67" s="23"/>
      <c r="AL67" s="53">
        <v>15</v>
      </c>
      <c r="AM67" s="404" t="s">
        <v>167</v>
      </c>
      <c r="AN67" s="405"/>
      <c r="AO67" s="405"/>
      <c r="AP67" s="405"/>
      <c r="AQ67" s="405"/>
      <c r="AR67" s="405"/>
      <c r="AS67" s="405"/>
      <c r="AT67" s="405"/>
      <c r="AU67" s="405"/>
      <c r="AV67" s="84">
        <v>0.04</v>
      </c>
      <c r="AW67" s="200" t="str">
        <f>"of Rs."&amp;BQ66&amp;" + Hr. Sec. Edu Cess @ "</f>
        <v xml:space="preserve">of Rs.7414 + Hr. Sec. Edu Cess @ </v>
      </c>
      <c r="AX67" s="200"/>
      <c r="AY67" s="200"/>
      <c r="AZ67" s="200"/>
      <c r="BA67" s="200"/>
      <c r="BB67" s="200"/>
      <c r="BC67" s="200"/>
      <c r="BD67" s="200"/>
      <c r="BE67" s="200"/>
      <c r="BF67" s="200"/>
      <c r="BG67" s="85"/>
      <c r="BH67" s="200"/>
      <c r="BI67" s="200"/>
      <c r="BJ67" s="200"/>
      <c r="BK67" s="200"/>
      <c r="BL67" s="200"/>
      <c r="BM67" s="200"/>
      <c r="BN67" s="200"/>
      <c r="BO67" s="286"/>
      <c r="BP67" s="83" t="s">
        <v>25</v>
      </c>
      <c r="BQ67" s="200">
        <f>ROUND(BQ66*AV67,0)</f>
        <v>297</v>
      </c>
      <c r="BR67" s="200"/>
      <c r="BS67" s="286"/>
      <c r="BT67" s="7"/>
    </row>
    <row r="68" spans="1:72">
      <c r="A68" s="285" t="s">
        <v>168</v>
      </c>
      <c r="B68" s="200"/>
      <c r="C68" s="200"/>
      <c r="D68" s="200"/>
      <c r="E68" s="200"/>
      <c r="F68" s="286"/>
      <c r="G68" s="396"/>
      <c r="H68" s="397"/>
      <c r="I68" s="396"/>
      <c r="J68" s="397"/>
      <c r="K68" s="396"/>
      <c r="L68" s="397"/>
      <c r="M68" s="396"/>
      <c r="N68" s="397"/>
      <c r="O68" s="396">
        <v>0</v>
      </c>
      <c r="P68" s="397"/>
      <c r="Q68" s="396"/>
      <c r="R68" s="397"/>
      <c r="S68" s="396"/>
      <c r="T68" s="397"/>
      <c r="U68" s="396"/>
      <c r="V68" s="397"/>
      <c r="W68" s="396"/>
      <c r="X68" s="397"/>
      <c r="Y68" s="396"/>
      <c r="Z68" s="397"/>
      <c r="AA68" s="396"/>
      <c r="AB68" s="397"/>
      <c r="AC68" s="396"/>
      <c r="AD68" s="397"/>
      <c r="AE68" s="293"/>
      <c r="AF68" s="294"/>
      <c r="AG68" s="136">
        <f t="shared" si="45"/>
        <v>0</v>
      </c>
      <c r="AH68" s="137"/>
      <c r="AI68" s="276"/>
      <c r="AJ68" s="80"/>
      <c r="AK68" s="3"/>
      <c r="AL68" s="53">
        <v>16</v>
      </c>
      <c r="AM68" s="219" t="s">
        <v>169</v>
      </c>
      <c r="AN68" s="200"/>
      <c r="AO68" s="200"/>
      <c r="AP68" s="200"/>
      <c r="AQ68" s="200"/>
      <c r="AR68" s="200"/>
      <c r="AS68" s="200"/>
      <c r="AT68" s="200"/>
      <c r="AU68" s="200"/>
      <c r="AV68" s="200"/>
      <c r="AW68" s="200"/>
      <c r="AX68" s="200"/>
      <c r="AY68" s="200"/>
      <c r="AZ68" s="200"/>
      <c r="BA68" s="200"/>
      <c r="BB68" s="200"/>
      <c r="BC68" s="200"/>
      <c r="BD68" s="200"/>
      <c r="BE68" s="200"/>
      <c r="BF68" s="200"/>
      <c r="BG68" s="200"/>
      <c r="BH68" s="200"/>
      <c r="BI68" s="200"/>
      <c r="BJ68" s="59"/>
      <c r="BK68" s="159"/>
      <c r="BL68" s="286"/>
      <c r="BM68" s="59"/>
      <c r="BN68" s="159"/>
      <c r="BO68" s="286"/>
      <c r="BP68" s="83" t="s">
        <v>25</v>
      </c>
      <c r="BQ68" s="250">
        <f>SUM(BQ66,BQ67)</f>
        <v>7711</v>
      </c>
      <c r="BR68" s="250"/>
      <c r="BS68" s="286"/>
      <c r="BT68" s="7"/>
    </row>
    <row r="69" spans="1:72">
      <c r="A69" s="285" t="s">
        <v>170</v>
      </c>
      <c r="B69" s="200"/>
      <c r="C69" s="200"/>
      <c r="D69" s="200"/>
      <c r="E69" s="200"/>
      <c r="F69" s="286"/>
      <c r="G69" s="396"/>
      <c r="H69" s="397"/>
      <c r="I69" s="396"/>
      <c r="J69" s="397"/>
      <c r="K69" s="396"/>
      <c r="L69" s="397"/>
      <c r="M69" s="396"/>
      <c r="N69" s="397"/>
      <c r="O69" s="396"/>
      <c r="P69" s="397"/>
      <c r="Q69" s="396"/>
      <c r="R69" s="397"/>
      <c r="S69" s="396"/>
      <c r="T69" s="397"/>
      <c r="U69" s="396"/>
      <c r="V69" s="397"/>
      <c r="W69" s="396"/>
      <c r="X69" s="397"/>
      <c r="Y69" s="396"/>
      <c r="Z69" s="397"/>
      <c r="AA69" s="396"/>
      <c r="AB69" s="397"/>
      <c r="AC69" s="396"/>
      <c r="AD69" s="397"/>
      <c r="AE69" s="293"/>
      <c r="AF69" s="294"/>
      <c r="AG69" s="136">
        <f t="shared" ref="AG69:AG71" si="46">SUM(G69:AF69)</f>
        <v>0</v>
      </c>
      <c r="AH69" s="137"/>
      <c r="AI69" s="276"/>
      <c r="AJ69" s="34"/>
      <c r="AK69" s="3"/>
      <c r="AL69" s="53">
        <v>17</v>
      </c>
      <c r="AM69" s="219" t="s">
        <v>171</v>
      </c>
      <c r="AN69" s="200"/>
      <c r="AO69" s="200"/>
      <c r="AP69" s="200"/>
      <c r="AQ69" s="200"/>
      <c r="AR69" s="200"/>
      <c r="AS69" s="200"/>
      <c r="AT69" s="200"/>
      <c r="AU69" s="200"/>
      <c r="AV69" s="200"/>
      <c r="AW69" s="200"/>
      <c r="AX69" s="200"/>
      <c r="AY69" s="200"/>
      <c r="AZ69" s="200"/>
      <c r="BA69" s="200"/>
      <c r="BB69" s="200"/>
      <c r="BC69" s="200"/>
      <c r="BD69" s="200"/>
      <c r="BE69" s="200"/>
      <c r="BF69" s="200"/>
      <c r="BG69" s="200"/>
      <c r="BH69" s="200"/>
      <c r="BI69" s="200"/>
      <c r="BJ69" s="59"/>
      <c r="BK69" s="159"/>
      <c r="BL69" s="286"/>
      <c r="BM69" s="59"/>
      <c r="BN69" s="159"/>
      <c r="BO69" s="286"/>
      <c r="BP69" s="83" t="s">
        <v>25</v>
      </c>
      <c r="BQ69" s="159">
        <f>AG71</f>
        <v>0</v>
      </c>
      <c r="BR69" s="159"/>
      <c r="BS69" s="286"/>
      <c r="BT69" s="7"/>
    </row>
    <row r="70" spans="1:72">
      <c r="A70" s="285" t="s">
        <v>172</v>
      </c>
      <c r="B70" s="200"/>
      <c r="C70" s="200"/>
      <c r="D70" s="200"/>
      <c r="E70" s="200"/>
      <c r="F70" s="286"/>
      <c r="G70" s="396"/>
      <c r="H70" s="397"/>
      <c r="I70" s="287"/>
      <c r="J70" s="288"/>
      <c r="K70" s="287"/>
      <c r="L70" s="288"/>
      <c r="M70" s="287"/>
      <c r="N70" s="288"/>
      <c r="O70" s="287"/>
      <c r="P70" s="288"/>
      <c r="Q70" s="287"/>
      <c r="R70" s="288"/>
      <c r="S70" s="287"/>
      <c r="T70" s="288"/>
      <c r="U70" s="287"/>
      <c r="V70" s="288"/>
      <c r="W70" s="287"/>
      <c r="X70" s="288"/>
      <c r="Y70" s="287"/>
      <c r="Z70" s="288"/>
      <c r="AA70" s="287"/>
      <c r="AB70" s="288"/>
      <c r="AC70" s="287"/>
      <c r="AD70" s="288"/>
      <c r="AE70" s="293"/>
      <c r="AF70" s="294"/>
      <c r="AG70" s="136">
        <f t="shared" si="46"/>
        <v>0</v>
      </c>
      <c r="AH70" s="137"/>
      <c r="AI70" s="276"/>
      <c r="AJ70" s="34"/>
      <c r="AK70" s="3"/>
      <c r="AL70" s="53">
        <v>18</v>
      </c>
      <c r="AM70" s="219" t="s">
        <v>173</v>
      </c>
      <c r="AN70" s="200"/>
      <c r="AO70" s="200"/>
      <c r="AP70" s="200"/>
      <c r="AQ70" s="200"/>
      <c r="AR70" s="200"/>
      <c r="AS70" s="200"/>
      <c r="AT70" s="200"/>
      <c r="AU70" s="200"/>
      <c r="AV70" s="200"/>
      <c r="AW70" s="200"/>
      <c r="AX70" s="200"/>
      <c r="AY70" s="200"/>
      <c r="AZ70" s="200"/>
      <c r="BA70" s="200"/>
      <c r="BB70" s="200"/>
      <c r="BC70" s="200"/>
      <c r="BD70" s="200"/>
      <c r="BE70" s="200"/>
      <c r="BF70" s="200"/>
      <c r="BG70" s="200"/>
      <c r="BH70" s="200"/>
      <c r="BI70" s="200"/>
      <c r="BJ70" s="59"/>
      <c r="BK70" s="159"/>
      <c r="BL70" s="286"/>
      <c r="BM70" s="59"/>
      <c r="BN70" s="159"/>
      <c r="BO70" s="286"/>
      <c r="BP70" s="83" t="s">
        <v>25</v>
      </c>
      <c r="BQ70" s="250">
        <f>BQ68-BQ69</f>
        <v>7711</v>
      </c>
      <c r="BR70" s="250"/>
      <c r="BS70" s="286"/>
      <c r="BT70" s="7"/>
    </row>
    <row r="71" spans="1:72">
      <c r="A71" s="285" t="s">
        <v>174</v>
      </c>
      <c r="B71" s="200"/>
      <c r="C71" s="200"/>
      <c r="D71" s="200"/>
      <c r="E71" s="200"/>
      <c r="F71" s="286"/>
      <c r="G71" s="396"/>
      <c r="H71" s="397"/>
      <c r="I71" s="396"/>
      <c r="J71" s="397"/>
      <c r="K71" s="396"/>
      <c r="L71" s="397"/>
      <c r="M71" s="396"/>
      <c r="N71" s="397"/>
      <c r="O71" s="396"/>
      <c r="P71" s="397"/>
      <c r="Q71" s="396"/>
      <c r="R71" s="397"/>
      <c r="S71" s="396"/>
      <c r="T71" s="397"/>
      <c r="U71" s="396"/>
      <c r="V71" s="397"/>
      <c r="W71" s="396"/>
      <c r="X71" s="397"/>
      <c r="Y71" s="396"/>
      <c r="Z71" s="397"/>
      <c r="AA71" s="396"/>
      <c r="AB71" s="397"/>
      <c r="AC71" s="396"/>
      <c r="AD71" s="397"/>
      <c r="AE71" s="293"/>
      <c r="AF71" s="294"/>
      <c r="AG71" s="136">
        <f t="shared" si="46"/>
        <v>0</v>
      </c>
      <c r="AH71" s="137"/>
      <c r="AI71" s="276"/>
      <c r="AJ71" s="34"/>
      <c r="AK71" s="3"/>
      <c r="AL71" s="53">
        <v>19</v>
      </c>
      <c r="AM71" s="219" t="s">
        <v>175</v>
      </c>
      <c r="AN71" s="200"/>
      <c r="AO71" s="200"/>
      <c r="AP71" s="200"/>
      <c r="AQ71" s="200"/>
      <c r="AR71" s="200"/>
      <c r="AS71" s="200"/>
      <c r="AT71" s="200"/>
      <c r="AU71" s="200"/>
      <c r="AV71" s="200"/>
      <c r="AW71" s="200"/>
      <c r="AX71" s="200"/>
      <c r="AY71" s="200"/>
      <c r="AZ71" s="200"/>
      <c r="BA71" s="200"/>
      <c r="BB71" s="200"/>
      <c r="BC71" s="200"/>
      <c r="BD71" s="200"/>
      <c r="BE71" s="200"/>
      <c r="BF71" s="200"/>
      <c r="BG71" s="200"/>
      <c r="BH71" s="200"/>
      <c r="BI71" s="200"/>
      <c r="BJ71" s="59"/>
      <c r="BK71" s="159"/>
      <c r="BL71" s="286"/>
      <c r="BM71" s="59"/>
      <c r="BN71" s="159"/>
      <c r="BO71" s="286"/>
      <c r="BP71" s="83" t="s">
        <v>25</v>
      </c>
      <c r="BQ71" s="159">
        <f>Y91</f>
        <v>28043</v>
      </c>
      <c r="BR71" s="159"/>
      <c r="BS71" s="286"/>
      <c r="BT71" s="7"/>
    </row>
    <row r="72" spans="1: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4"/>
      <c r="AK72" s="3"/>
      <c r="AL72" s="86">
        <v>20</v>
      </c>
      <c r="AM72" s="285" t="s">
        <v>176</v>
      </c>
      <c r="AN72" s="200"/>
      <c r="AO72" s="200"/>
      <c r="AP72" s="200"/>
      <c r="AQ72" s="200"/>
      <c r="AR72" s="200"/>
      <c r="AS72" s="200"/>
      <c r="AT72" s="200"/>
      <c r="AU72" s="200"/>
      <c r="AV72" s="200"/>
      <c r="AW72" s="200"/>
      <c r="AX72" s="200"/>
      <c r="AY72" s="200"/>
      <c r="AZ72" s="200"/>
      <c r="BA72" s="200"/>
      <c r="BB72" s="200"/>
      <c r="BC72" s="200"/>
      <c r="BD72" s="200"/>
      <c r="BE72" s="200"/>
      <c r="BF72" s="200"/>
      <c r="BG72" s="200"/>
      <c r="BH72" s="200"/>
      <c r="BI72" s="200"/>
      <c r="BJ72" s="59"/>
      <c r="BK72" s="159"/>
      <c r="BL72" s="286"/>
      <c r="BM72" s="59"/>
      <c r="BN72" s="159"/>
      <c r="BO72" s="286"/>
      <c r="BP72" s="87" t="s">
        <v>25</v>
      </c>
      <c r="BQ72" s="250">
        <f>BQ70-BQ71</f>
        <v>-20332</v>
      </c>
      <c r="BR72" s="250"/>
      <c r="BS72" s="286"/>
      <c r="BT72" s="7"/>
    </row>
    <row r="73" spans="1:72">
      <c r="A73" s="110" t="s">
        <v>177</v>
      </c>
      <c r="B73" s="138"/>
      <c r="C73" s="138"/>
      <c r="D73" s="138"/>
      <c r="E73" s="138"/>
      <c r="F73" s="138"/>
      <c r="G73" s="138"/>
      <c r="H73" s="138"/>
      <c r="I73" s="383"/>
      <c r="J73" s="383"/>
      <c r="K73" s="383"/>
      <c r="L73" s="383"/>
      <c r="M73" s="383"/>
      <c r="N73" s="383"/>
      <c r="O73" s="383"/>
      <c r="P73" s="383"/>
      <c r="Q73" s="383"/>
      <c r="R73" s="383"/>
      <c r="S73" s="383"/>
      <c r="T73" s="383"/>
      <c r="U73" s="383"/>
      <c r="V73" s="383"/>
      <c r="W73" s="383"/>
      <c r="X73" s="383"/>
      <c r="Y73" s="383"/>
      <c r="Z73" s="383"/>
      <c r="AA73" s="383"/>
      <c r="AB73" s="383"/>
      <c r="AC73" s="383"/>
      <c r="AD73" s="383"/>
      <c r="AE73" s="383"/>
      <c r="AF73" s="383"/>
      <c r="AG73" s="111"/>
      <c r="AH73" s="111"/>
      <c r="AI73" s="411"/>
      <c r="AJ73" s="34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7"/>
    </row>
    <row r="74" spans="1:72">
      <c r="A74" s="406" t="s">
        <v>178</v>
      </c>
      <c r="B74" s="406"/>
      <c r="C74" s="406"/>
      <c r="D74" s="406"/>
      <c r="E74" s="406"/>
      <c r="F74" s="406"/>
      <c r="G74" s="409" t="s">
        <v>179</v>
      </c>
      <c r="H74" s="410"/>
      <c r="I74" s="409" t="s">
        <v>179</v>
      </c>
      <c r="J74" s="410"/>
      <c r="K74" s="409" t="s">
        <v>179</v>
      </c>
      <c r="L74" s="410"/>
      <c r="M74" s="409" t="s">
        <v>179</v>
      </c>
      <c r="N74" s="410"/>
      <c r="O74" s="409" t="s">
        <v>179</v>
      </c>
      <c r="P74" s="410"/>
      <c r="Q74" s="409" t="s">
        <v>179</v>
      </c>
      <c r="R74" s="410"/>
      <c r="S74" s="409" t="s">
        <v>179</v>
      </c>
      <c r="T74" s="410"/>
      <c r="U74" s="409" t="s">
        <v>179</v>
      </c>
      <c r="V74" s="410"/>
      <c r="W74" s="409" t="s">
        <v>179</v>
      </c>
      <c r="X74" s="410"/>
      <c r="Y74" s="409" t="s">
        <v>179</v>
      </c>
      <c r="Z74" s="410"/>
      <c r="AA74" s="409" t="s">
        <v>179</v>
      </c>
      <c r="AB74" s="410"/>
      <c r="AC74" s="409" t="s">
        <v>179</v>
      </c>
      <c r="AD74" s="410"/>
      <c r="AE74" s="409" t="s">
        <v>179</v>
      </c>
      <c r="AF74" s="410"/>
      <c r="AG74" s="406"/>
      <c r="AH74" s="406"/>
      <c r="AI74" s="406"/>
      <c r="AJ74" s="34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7"/>
    </row>
    <row r="75" spans="1:72">
      <c r="A75" s="160"/>
      <c r="B75" s="161"/>
      <c r="C75" s="161"/>
      <c r="D75" s="161"/>
      <c r="E75" s="161"/>
      <c r="F75" s="177"/>
      <c r="G75" s="407">
        <f>DATE($AD2,4,1)</f>
        <v>43556</v>
      </c>
      <c r="H75" s="408"/>
      <c r="I75" s="407">
        <f>DATE($AD2,4,30)</f>
        <v>43585</v>
      </c>
      <c r="J75" s="408"/>
      <c r="K75" s="407">
        <f>DATE($AD2,5,31)</f>
        <v>43616</v>
      </c>
      <c r="L75" s="408"/>
      <c r="M75" s="407">
        <f>DATE($AD2,6,30)</f>
        <v>43646</v>
      </c>
      <c r="N75" s="408"/>
      <c r="O75" s="407">
        <f>DATE($AD2,7,31)</f>
        <v>43677</v>
      </c>
      <c r="P75" s="408"/>
      <c r="Q75" s="407">
        <f>DATE($AD2,8,31)</f>
        <v>43708</v>
      </c>
      <c r="R75" s="408"/>
      <c r="S75" s="407">
        <f>DATE($AD2,9,30)</f>
        <v>43738</v>
      </c>
      <c r="T75" s="408"/>
      <c r="U75" s="407">
        <f>DATE($AD2,10,31)</f>
        <v>43769</v>
      </c>
      <c r="V75" s="408"/>
      <c r="W75" s="407">
        <f>DATE($AD2,11,30)</f>
        <v>43799</v>
      </c>
      <c r="X75" s="408"/>
      <c r="Y75" s="407">
        <f>DATE($AD2,12,31)</f>
        <v>43830</v>
      </c>
      <c r="Z75" s="408"/>
      <c r="AA75" s="407">
        <f>DATE($AH2,1,31)</f>
        <v>43861</v>
      </c>
      <c r="AB75" s="408"/>
      <c r="AC75" s="407">
        <f>DATE($AH2,2,28)</f>
        <v>43889</v>
      </c>
      <c r="AD75" s="408"/>
      <c r="AE75" s="407">
        <f>DATE($AH2,3,31)</f>
        <v>43921</v>
      </c>
      <c r="AF75" s="408"/>
      <c r="AG75" s="419"/>
      <c r="AH75" s="420"/>
      <c r="AI75" s="421"/>
      <c r="AJ75" s="34"/>
      <c r="AK75" s="3"/>
      <c r="AL75" s="23"/>
      <c r="AM75" s="23"/>
      <c r="AN75" s="23"/>
      <c r="AO75" s="23"/>
      <c r="AP75" s="23"/>
      <c r="AQ75" s="23"/>
      <c r="AR75" s="23"/>
      <c r="AS75" s="23"/>
      <c r="AT75" s="2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161" t="s">
        <v>180</v>
      </c>
      <c r="BG75" s="99"/>
      <c r="BH75" s="227"/>
      <c r="BI75" s="227"/>
      <c r="BJ75" s="415"/>
      <c r="BK75" s="416"/>
      <c r="BL75" s="416"/>
      <c r="BM75" s="416"/>
      <c r="BN75" s="416"/>
      <c r="BO75" s="416"/>
      <c r="BP75" s="416"/>
      <c r="BQ75" s="416"/>
      <c r="BR75" s="416"/>
      <c r="BS75" s="416"/>
      <c r="BT75" s="7"/>
    </row>
    <row r="76" spans="1:72">
      <c r="A76" s="156" t="s">
        <v>181</v>
      </c>
      <c r="B76" s="156"/>
      <c r="C76" s="156"/>
      <c r="D76" s="156"/>
      <c r="E76" s="156"/>
      <c r="F76" s="171"/>
      <c r="G76" s="417">
        <v>433</v>
      </c>
      <c r="H76" s="418"/>
      <c r="I76" s="178">
        <v>1215</v>
      </c>
      <c r="J76" s="179"/>
      <c r="K76" s="178">
        <v>1245</v>
      </c>
      <c r="L76" s="179"/>
      <c r="M76" s="178">
        <v>1120</v>
      </c>
      <c r="N76" s="179"/>
      <c r="O76" s="178">
        <v>1260</v>
      </c>
      <c r="P76" s="179"/>
      <c r="Q76" s="178">
        <v>1260</v>
      </c>
      <c r="R76" s="179"/>
      <c r="S76" s="178">
        <f t="shared" ref="S76" si="47">Q76</f>
        <v>1260</v>
      </c>
      <c r="T76" s="179"/>
      <c r="U76" s="178">
        <f t="shared" ref="U76" si="48">S76</f>
        <v>1260</v>
      </c>
      <c r="V76" s="179"/>
      <c r="W76" s="178">
        <v>1260</v>
      </c>
      <c r="X76" s="179"/>
      <c r="Y76" s="178">
        <v>3600</v>
      </c>
      <c r="Z76" s="179"/>
      <c r="AA76" s="178">
        <v>7135</v>
      </c>
      <c r="AB76" s="179"/>
      <c r="AC76" s="178">
        <v>7135</v>
      </c>
      <c r="AD76" s="179"/>
      <c r="AE76" s="233"/>
      <c r="AF76" s="234"/>
      <c r="AG76" s="160">
        <f t="shared" ref="AG76:AG82" si="49">SUM(G76:AF76)</f>
        <v>28183</v>
      </c>
      <c r="AH76" s="161"/>
      <c r="AI76" s="177"/>
      <c r="AJ76" s="34"/>
      <c r="AK76" s="3"/>
      <c r="AL76" s="3"/>
      <c r="AM76" s="3"/>
      <c r="AN76" s="3"/>
      <c r="AO76" s="3"/>
      <c r="AP76" s="3"/>
      <c r="AQ76" s="3"/>
      <c r="AR76" s="3"/>
      <c r="AS76" s="23"/>
      <c r="AT76" s="2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161" t="s">
        <v>182</v>
      </c>
      <c r="BG76" s="99"/>
      <c r="BH76" s="227"/>
      <c r="BI76" s="227"/>
      <c r="BJ76" s="412" t="str">
        <f>IF(D2="","",D2)</f>
        <v/>
      </c>
      <c r="BK76" s="413"/>
      <c r="BL76" s="413"/>
      <c r="BM76" s="413"/>
      <c r="BN76" s="413"/>
      <c r="BO76" s="413"/>
      <c r="BP76" s="413"/>
      <c r="BQ76" s="413"/>
      <c r="BR76" s="413"/>
      <c r="BS76" s="413"/>
      <c r="BT76" s="19"/>
    </row>
    <row r="77" spans="1:72">
      <c r="A77" s="414" t="s">
        <v>183</v>
      </c>
      <c r="B77" s="414"/>
      <c r="C77" s="414"/>
      <c r="D77" s="414"/>
      <c r="E77" s="414"/>
      <c r="F77" s="414"/>
      <c r="G77" s="178">
        <v>0</v>
      </c>
      <c r="H77" s="179"/>
      <c r="I77" s="178">
        <v>0</v>
      </c>
      <c r="J77" s="179"/>
      <c r="K77" s="178">
        <v>0</v>
      </c>
      <c r="L77" s="179"/>
      <c r="M77" s="178">
        <v>0</v>
      </c>
      <c r="N77" s="179"/>
      <c r="O77" s="178">
        <v>0</v>
      </c>
      <c r="P77" s="179"/>
      <c r="Q77" s="178">
        <v>0</v>
      </c>
      <c r="R77" s="179"/>
      <c r="S77" s="178">
        <v>0</v>
      </c>
      <c r="T77" s="179"/>
      <c r="U77" s="178">
        <v>0</v>
      </c>
      <c r="V77" s="179"/>
      <c r="W77" s="178">
        <v>0</v>
      </c>
      <c r="X77" s="179"/>
      <c r="Y77" s="178">
        <v>0</v>
      </c>
      <c r="Z77" s="179"/>
      <c r="AA77" s="178">
        <v>0</v>
      </c>
      <c r="AB77" s="179"/>
      <c r="AC77" s="178">
        <v>0</v>
      </c>
      <c r="AD77" s="179"/>
      <c r="AE77" s="240"/>
      <c r="AF77" s="241"/>
      <c r="AG77" s="160">
        <f t="shared" si="49"/>
        <v>0</v>
      </c>
      <c r="AH77" s="161"/>
      <c r="AI77" s="177"/>
      <c r="AJ77" s="34"/>
      <c r="AK77" s="3"/>
      <c r="AL77" s="3"/>
      <c r="AM77" s="3"/>
      <c r="AN77" s="3"/>
      <c r="AO77" s="3"/>
      <c r="AP77" s="3"/>
      <c r="AQ77" s="3"/>
      <c r="AR77" s="3"/>
      <c r="AS77" s="23"/>
      <c r="AT77" s="2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161" t="s">
        <v>184</v>
      </c>
      <c r="BG77" s="99"/>
      <c r="BH77" s="227"/>
      <c r="BI77" s="227"/>
      <c r="BJ77" s="412" t="str">
        <f>IF(D4="","",D4)</f>
        <v/>
      </c>
      <c r="BK77" s="413"/>
      <c r="BL77" s="413"/>
      <c r="BM77" s="413"/>
      <c r="BN77" s="413"/>
      <c r="BO77" s="413"/>
      <c r="BP77" s="413"/>
      <c r="BQ77" s="413"/>
      <c r="BR77" s="413"/>
      <c r="BS77" s="413"/>
      <c r="BT77" s="19"/>
    </row>
    <row r="78" spans="1:72">
      <c r="A78" s="281" t="s">
        <v>185</v>
      </c>
      <c r="B78" s="281"/>
      <c r="C78" s="281"/>
      <c r="D78" s="281"/>
      <c r="E78" s="281"/>
      <c r="F78" s="281"/>
      <c r="G78" s="422">
        <f>SUM(G76:H77)</f>
        <v>433</v>
      </c>
      <c r="H78" s="423"/>
      <c r="I78" s="422">
        <f>SUM(I76:J77)</f>
        <v>1215</v>
      </c>
      <c r="J78" s="423"/>
      <c r="K78" s="422">
        <f>SUM(K76:L77)</f>
        <v>1245</v>
      </c>
      <c r="L78" s="423"/>
      <c r="M78" s="422">
        <f>SUM(M76:N77)</f>
        <v>1120</v>
      </c>
      <c r="N78" s="423"/>
      <c r="O78" s="422">
        <v>1120</v>
      </c>
      <c r="P78" s="423"/>
      <c r="Q78" s="422">
        <f>SUM(Q76:R77)</f>
        <v>1260</v>
      </c>
      <c r="R78" s="423"/>
      <c r="S78" s="422">
        <f>SUM(S76:T77)</f>
        <v>1260</v>
      </c>
      <c r="T78" s="423"/>
      <c r="U78" s="422">
        <f>SUM(U76:V77)</f>
        <v>1260</v>
      </c>
      <c r="V78" s="423"/>
      <c r="W78" s="373">
        <f>SUM(W76:X77)</f>
        <v>1260</v>
      </c>
      <c r="X78" s="375"/>
      <c r="Y78" s="373">
        <f>SUM(Y76:Z77)</f>
        <v>3600</v>
      </c>
      <c r="Z78" s="375"/>
      <c r="AA78" s="373">
        <f>SUM(AA76:AB77)</f>
        <v>7135</v>
      </c>
      <c r="AB78" s="375"/>
      <c r="AC78" s="373">
        <f>SUM(AC76:AD77)</f>
        <v>7135</v>
      </c>
      <c r="AD78" s="375"/>
      <c r="AE78" s="422">
        <f>SUM(AE76:AF77)</f>
        <v>0</v>
      </c>
      <c r="AF78" s="423"/>
      <c r="AG78" s="373">
        <f t="shared" si="49"/>
        <v>28043</v>
      </c>
      <c r="AH78" s="374"/>
      <c r="AI78" s="375"/>
      <c r="AJ78" s="4"/>
      <c r="AK78" s="3"/>
      <c r="AL78" s="3"/>
      <c r="AM78" s="3"/>
      <c r="AN78" s="3"/>
      <c r="AO78" s="3"/>
      <c r="AP78" s="3"/>
      <c r="AQ78" s="3"/>
      <c r="AR78" s="3"/>
      <c r="AS78" s="88"/>
      <c r="AT78" s="2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161" t="s">
        <v>186</v>
      </c>
      <c r="BG78" s="99"/>
      <c r="BH78" s="227"/>
      <c r="BI78" s="227"/>
      <c r="BJ78" s="424" t="str">
        <f>IF(D5="","",D5)</f>
        <v/>
      </c>
      <c r="BK78" s="96"/>
      <c r="BL78" s="96"/>
      <c r="BM78" s="96"/>
      <c r="BN78" s="96"/>
      <c r="BO78" s="96"/>
      <c r="BP78" s="96"/>
      <c r="BQ78" s="96"/>
      <c r="BR78" s="96"/>
      <c r="BS78" s="96"/>
      <c r="BT78" s="7"/>
    </row>
    <row r="79" spans="1:72">
      <c r="A79" s="156" t="s">
        <v>187</v>
      </c>
      <c r="B79" s="156"/>
      <c r="C79" s="156"/>
      <c r="D79" s="156"/>
      <c r="E79" s="156"/>
      <c r="F79" s="171"/>
      <c r="G79" s="233"/>
      <c r="H79" s="234"/>
      <c r="I79" s="425"/>
      <c r="J79" s="426"/>
      <c r="K79" s="425"/>
      <c r="L79" s="426"/>
      <c r="M79" s="425"/>
      <c r="N79" s="426"/>
      <c r="O79" s="425"/>
      <c r="P79" s="426"/>
      <c r="Q79" s="425"/>
      <c r="R79" s="426"/>
      <c r="S79" s="425"/>
      <c r="T79" s="426"/>
      <c r="U79" s="425"/>
      <c r="V79" s="426"/>
      <c r="W79" s="425"/>
      <c r="X79" s="426"/>
      <c r="Y79" s="425"/>
      <c r="Z79" s="426"/>
      <c r="AA79" s="425"/>
      <c r="AB79" s="426"/>
      <c r="AC79" s="425"/>
      <c r="AD79" s="426"/>
      <c r="AE79" s="425"/>
      <c r="AF79" s="426"/>
      <c r="AG79" s="170">
        <f t="shared" si="49"/>
        <v>0</v>
      </c>
      <c r="AH79" s="156"/>
      <c r="AI79" s="171"/>
      <c r="AJ79" s="4"/>
      <c r="AK79" s="3"/>
      <c r="AL79" s="3"/>
      <c r="AM79" s="3"/>
      <c r="AN79" s="3"/>
      <c r="AO79" s="3"/>
      <c r="AP79" s="3"/>
      <c r="AQ79" s="3"/>
      <c r="AR79" s="3"/>
      <c r="AS79" s="88"/>
      <c r="AT79" s="2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161" t="s">
        <v>188</v>
      </c>
      <c r="BG79" s="99"/>
      <c r="BH79" s="227"/>
      <c r="BI79" s="227"/>
      <c r="BJ79" s="429"/>
      <c r="BK79" s="430"/>
      <c r="BL79" s="430"/>
      <c r="BM79" s="430"/>
      <c r="BN79" s="430"/>
      <c r="BO79" s="430"/>
      <c r="BP79" s="430"/>
      <c r="BQ79" s="430"/>
      <c r="BR79" s="430"/>
      <c r="BS79" s="430"/>
      <c r="BT79" s="7"/>
    </row>
    <row r="80" spans="1:72">
      <c r="A80" s="414" t="s">
        <v>189</v>
      </c>
      <c r="B80" s="414"/>
      <c r="C80" s="414"/>
      <c r="D80" s="414"/>
      <c r="E80" s="414"/>
      <c r="F80" s="414"/>
      <c r="G80" s="240"/>
      <c r="H80" s="241"/>
      <c r="I80" s="427"/>
      <c r="J80" s="428"/>
      <c r="K80" s="427"/>
      <c r="L80" s="428"/>
      <c r="M80" s="427"/>
      <c r="N80" s="428"/>
      <c r="O80" s="427"/>
      <c r="P80" s="428"/>
      <c r="Q80" s="427"/>
      <c r="R80" s="428"/>
      <c r="S80" s="427"/>
      <c r="T80" s="428"/>
      <c r="U80" s="427"/>
      <c r="V80" s="428"/>
      <c r="W80" s="427"/>
      <c r="X80" s="428"/>
      <c r="Y80" s="427"/>
      <c r="Z80" s="428"/>
      <c r="AA80" s="427"/>
      <c r="AB80" s="428"/>
      <c r="AC80" s="427"/>
      <c r="AD80" s="428"/>
      <c r="AE80" s="427"/>
      <c r="AF80" s="428"/>
      <c r="AG80" s="160">
        <f t="shared" si="49"/>
        <v>0</v>
      </c>
      <c r="AH80" s="161"/>
      <c r="AI80" s="177"/>
      <c r="AJ80" s="4"/>
      <c r="AK80" s="3"/>
      <c r="AL80" s="3"/>
      <c r="AM80" s="3"/>
      <c r="AN80" s="3"/>
      <c r="AO80" s="3"/>
      <c r="AP80" s="3"/>
      <c r="AQ80" s="3"/>
      <c r="AR80" s="3"/>
      <c r="AS80" s="88"/>
      <c r="AT80" s="23"/>
      <c r="AU80" s="40"/>
      <c r="AV80" s="23"/>
      <c r="AW80" s="89"/>
      <c r="AX80" s="89"/>
      <c r="AY80" s="89"/>
      <c r="AZ80" s="89"/>
      <c r="BA80" s="89"/>
      <c r="BB80" s="89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7"/>
    </row>
    <row r="81" spans="1:72" ht="24" customHeight="1">
      <c r="A81" s="414" t="s">
        <v>190</v>
      </c>
      <c r="B81" s="414"/>
      <c r="C81" s="414"/>
      <c r="D81" s="414"/>
      <c r="E81" s="414"/>
      <c r="F81" s="414"/>
      <c r="G81" s="431">
        <f>SUM(G79:H80)</f>
        <v>0</v>
      </c>
      <c r="H81" s="432"/>
      <c r="I81" s="431">
        <f>SUM(I79:J80)</f>
        <v>0</v>
      </c>
      <c r="J81" s="432"/>
      <c r="K81" s="431">
        <f>SUM(K79:L80)</f>
        <v>0</v>
      </c>
      <c r="L81" s="432"/>
      <c r="M81" s="431">
        <f>SUM(M79:N80)</f>
        <v>0</v>
      </c>
      <c r="N81" s="432"/>
      <c r="O81" s="431">
        <f>SUM(O79:P80)</f>
        <v>0</v>
      </c>
      <c r="P81" s="432"/>
      <c r="Q81" s="431">
        <f>SUM(Q79:R80)</f>
        <v>0</v>
      </c>
      <c r="R81" s="432"/>
      <c r="S81" s="431">
        <f>SUM(S79:T80)</f>
        <v>0</v>
      </c>
      <c r="T81" s="432"/>
      <c r="U81" s="431">
        <f>SUM(U79:V80)</f>
        <v>0</v>
      </c>
      <c r="V81" s="432"/>
      <c r="W81" s="431">
        <f>SUM(W79:X80)</f>
        <v>0</v>
      </c>
      <c r="X81" s="432"/>
      <c r="Y81" s="431">
        <f>SUM(Y79:Z80)</f>
        <v>0</v>
      </c>
      <c r="Z81" s="432"/>
      <c r="AA81" s="431">
        <f>SUM(AA79:AB80)</f>
        <v>0</v>
      </c>
      <c r="AB81" s="432"/>
      <c r="AC81" s="431">
        <f>SUM(AC79:AD80)</f>
        <v>0</v>
      </c>
      <c r="AD81" s="432"/>
      <c r="AE81" s="431">
        <f>SUM(AE79:AF80)</f>
        <v>0</v>
      </c>
      <c r="AF81" s="432"/>
      <c r="AG81" s="110">
        <f t="shared" si="49"/>
        <v>0</v>
      </c>
      <c r="AH81" s="111"/>
      <c r="AI81" s="411"/>
      <c r="AJ81" s="4"/>
      <c r="AK81" s="3"/>
      <c r="AL81" s="3"/>
      <c r="AM81" s="3"/>
      <c r="AN81" s="3"/>
      <c r="AO81" s="3"/>
      <c r="AP81" s="3"/>
      <c r="AQ81" s="3"/>
      <c r="AR81" s="3"/>
      <c r="AS81" s="88"/>
      <c r="AT81" s="23"/>
      <c r="AU81" s="40"/>
      <c r="AV81" s="23"/>
      <c r="AW81" s="89"/>
      <c r="AX81" s="89"/>
      <c r="AY81" s="89"/>
      <c r="AZ81" s="89"/>
      <c r="BA81" s="89"/>
      <c r="BB81" s="89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7"/>
    </row>
    <row r="82" spans="1:72">
      <c r="A82" s="285" t="s">
        <v>191</v>
      </c>
      <c r="B82" s="200"/>
      <c r="C82" s="200"/>
      <c r="D82" s="200"/>
      <c r="E82" s="200"/>
      <c r="F82" s="286"/>
      <c r="G82" s="433">
        <f>IF(G74="This Off",SUM(G21:H22,G29:H36),"0")</f>
        <v>48200</v>
      </c>
      <c r="H82" s="434"/>
      <c r="I82" s="433">
        <f>IF(I74="This Off",SUM(I21:J22,I29:J36),"0")</f>
        <v>48200</v>
      </c>
      <c r="J82" s="434"/>
      <c r="K82" s="433">
        <f t="shared" ref="K82" si="50">IF(K74="This Off",SUM(K21:L22,K29:L36),"0")</f>
        <v>48200</v>
      </c>
      <c r="L82" s="434"/>
      <c r="M82" s="433">
        <f t="shared" ref="M82" si="51">IF(M74="This Off",SUM(M21:N22,M29:N36),"0")</f>
        <v>48200</v>
      </c>
      <c r="N82" s="434"/>
      <c r="O82" s="433">
        <f t="shared" ref="O82" si="52">IF(O74="This Off",SUM(O21:P22,O29:P36),"0")</f>
        <v>48200</v>
      </c>
      <c r="P82" s="434"/>
      <c r="Q82" s="433">
        <f t="shared" ref="Q82" si="53">IF(Q74="This Off",SUM(Q21:R22,Q29:R36),"0")</f>
        <v>48200</v>
      </c>
      <c r="R82" s="434"/>
      <c r="S82" s="433">
        <f t="shared" ref="S82" si="54">IF(S74="This Off",SUM(S21:T22,S29:T36),"0")</f>
        <v>48200</v>
      </c>
      <c r="T82" s="434"/>
      <c r="U82" s="433">
        <f t="shared" ref="U82" si="55">IF(U74="This Off",SUM(U21:V22,U29:V36),"0")</f>
        <v>48200</v>
      </c>
      <c r="V82" s="434"/>
      <c r="W82" s="433">
        <f t="shared" ref="W82" si="56">IF(W74="This Off",SUM(W21:X22,W29:X36),"0")</f>
        <v>48200</v>
      </c>
      <c r="X82" s="434"/>
      <c r="Y82" s="433">
        <f t="shared" ref="Y82" si="57">IF(Y74="This Off",SUM(Y21:Z22,Y29:Z36),"0")</f>
        <v>93200</v>
      </c>
      <c r="Z82" s="434"/>
      <c r="AA82" s="433">
        <f t="shared" ref="AA82" si="58">IF(AA74="This Off",SUM(AA21:AB22,AA29:AB36),"0")</f>
        <v>65200</v>
      </c>
      <c r="AB82" s="434"/>
      <c r="AC82" s="433">
        <f t="shared" ref="AC82" si="59">IF(AC74="This Off",SUM(AC21:AD22,AC29:AD36),"0")</f>
        <v>65200</v>
      </c>
      <c r="AD82" s="434"/>
      <c r="AE82" s="433">
        <f t="shared" ref="AE82" si="60">IF(AE74="This Off",SUM(AE21:AF22,AE29:AF36),"0")</f>
        <v>0</v>
      </c>
      <c r="AF82" s="434"/>
      <c r="AG82" s="347">
        <f t="shared" si="49"/>
        <v>657400</v>
      </c>
      <c r="AH82" s="435"/>
      <c r="AI82" s="436"/>
      <c r="AJ82" s="4"/>
      <c r="AK82" s="3"/>
      <c r="AL82" s="3"/>
      <c r="AM82" s="3"/>
      <c r="AN82" s="3"/>
      <c r="AO82" s="3"/>
      <c r="AP82" s="3"/>
      <c r="AQ82" s="3"/>
      <c r="AR82" s="3"/>
      <c r="AS82" s="88"/>
      <c r="AT82" s="23"/>
      <c r="AU82" s="40"/>
      <c r="AV82" s="23"/>
      <c r="AW82" s="89"/>
      <c r="AX82" s="89"/>
      <c r="AY82" s="89"/>
      <c r="AZ82" s="89"/>
      <c r="BA82" s="89"/>
      <c r="BB82" s="89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19"/>
    </row>
    <row r="83" spans="1:72">
      <c r="A83" s="285" t="s">
        <v>192</v>
      </c>
      <c r="B83" s="200"/>
      <c r="C83" s="200"/>
      <c r="D83" s="200"/>
      <c r="E83" s="200"/>
      <c r="F83" s="286"/>
      <c r="G83" s="348"/>
      <c r="H83" s="349"/>
      <c r="I83" s="348"/>
      <c r="J83" s="349"/>
      <c r="K83" s="348"/>
      <c r="L83" s="349"/>
      <c r="M83" s="348"/>
      <c r="N83" s="349"/>
      <c r="O83" s="348"/>
      <c r="P83" s="349"/>
      <c r="Q83" s="348"/>
      <c r="R83" s="349"/>
      <c r="S83" s="348"/>
      <c r="T83" s="349"/>
      <c r="U83" s="348"/>
      <c r="V83" s="349"/>
      <c r="W83" s="348"/>
      <c r="X83" s="349"/>
      <c r="Y83" s="348"/>
      <c r="Z83" s="349"/>
      <c r="AA83" s="348"/>
      <c r="AB83" s="349"/>
      <c r="AC83" s="348"/>
      <c r="AD83" s="349"/>
      <c r="AE83" s="348"/>
      <c r="AF83" s="349"/>
      <c r="AG83" s="347">
        <f>BQ8</f>
        <v>59132</v>
      </c>
      <c r="AH83" s="435"/>
      <c r="AI83" s="436"/>
      <c r="AJ83" s="4"/>
      <c r="AK83" s="3"/>
      <c r="AL83" s="3"/>
      <c r="AM83" s="3"/>
      <c r="AN83" s="3"/>
      <c r="AO83" s="3"/>
      <c r="AP83" s="3"/>
      <c r="AQ83" s="3"/>
      <c r="AR83" s="3"/>
      <c r="AS83" s="88"/>
      <c r="AT83" s="23"/>
      <c r="AU83" s="40"/>
      <c r="AV83" s="23"/>
      <c r="AW83" s="89"/>
      <c r="AX83" s="89"/>
      <c r="AY83" s="89"/>
      <c r="AZ83" s="89"/>
      <c r="BA83" s="89"/>
      <c r="BB83" s="89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19"/>
    </row>
    <row r="84" spans="1:72">
      <c r="A84" s="285" t="s">
        <v>193</v>
      </c>
      <c r="B84" s="200"/>
      <c r="C84" s="200"/>
      <c r="D84" s="200"/>
      <c r="E84" s="200"/>
      <c r="F84" s="286"/>
      <c r="G84" s="348"/>
      <c r="H84" s="349"/>
      <c r="I84" s="348"/>
      <c r="J84" s="349"/>
      <c r="K84" s="348"/>
      <c r="L84" s="349"/>
      <c r="M84" s="348"/>
      <c r="N84" s="349"/>
      <c r="O84" s="348"/>
      <c r="P84" s="349"/>
      <c r="Q84" s="348"/>
      <c r="R84" s="349"/>
      <c r="S84" s="348"/>
      <c r="T84" s="349"/>
      <c r="U84" s="348"/>
      <c r="V84" s="349"/>
      <c r="W84" s="348"/>
      <c r="X84" s="349"/>
      <c r="Y84" s="348"/>
      <c r="Z84" s="349"/>
      <c r="AA84" s="348"/>
      <c r="AB84" s="349"/>
      <c r="AC84" s="348"/>
      <c r="AD84" s="349"/>
      <c r="AE84" s="348"/>
      <c r="AF84" s="349"/>
      <c r="AG84" s="347">
        <f>SUM(AG82,-AG83)</f>
        <v>598268</v>
      </c>
      <c r="AH84" s="435"/>
      <c r="AI84" s="436"/>
      <c r="AJ84" s="4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19"/>
    </row>
    <row r="85" spans="1:72">
      <c r="A85" s="136" t="s">
        <v>194</v>
      </c>
      <c r="B85" s="137"/>
      <c r="C85" s="137"/>
      <c r="D85" s="137"/>
      <c r="E85" s="137"/>
      <c r="F85" s="276"/>
      <c r="G85" s="437">
        <f t="shared" ref="G85:I85" si="61">IF(G74="This Off",G78,"0")</f>
        <v>433</v>
      </c>
      <c r="H85" s="438"/>
      <c r="I85" s="437">
        <f t="shared" si="61"/>
        <v>1215</v>
      </c>
      <c r="J85" s="438"/>
      <c r="K85" s="437">
        <f t="shared" ref="K85" si="62">IF(K74="This Off",K78,"0")</f>
        <v>1245</v>
      </c>
      <c r="L85" s="438"/>
      <c r="M85" s="437">
        <f t="shared" ref="M85" si="63">IF(M74="This Off",M78,"0")</f>
        <v>1120</v>
      </c>
      <c r="N85" s="438"/>
      <c r="O85" s="437">
        <f t="shared" ref="O85" si="64">IF(O74="This Off",O78,"0")</f>
        <v>1120</v>
      </c>
      <c r="P85" s="438"/>
      <c r="Q85" s="437">
        <f t="shared" ref="Q85" si="65">IF(Q74="This Off",Q78,"0")</f>
        <v>1260</v>
      </c>
      <c r="R85" s="438"/>
      <c r="S85" s="437">
        <f t="shared" ref="S85" si="66">IF(S74="This Off",S78,"0")</f>
        <v>1260</v>
      </c>
      <c r="T85" s="438"/>
      <c r="U85" s="437">
        <f t="shared" ref="U85" si="67">IF(U74="This Off",U78,"0")</f>
        <v>1260</v>
      </c>
      <c r="V85" s="438"/>
      <c r="W85" s="437">
        <f t="shared" ref="W85" si="68">IF(W74="This Off",W78,"0")</f>
        <v>1260</v>
      </c>
      <c r="X85" s="438"/>
      <c r="Y85" s="437">
        <f t="shared" ref="Y85" si="69">IF(Y74="This Off",Y78,"0")</f>
        <v>3600</v>
      </c>
      <c r="Z85" s="438"/>
      <c r="AA85" s="437">
        <f t="shared" ref="AA85" si="70">IF(AA74="This Off",AA78,"0")</f>
        <v>7135</v>
      </c>
      <c r="AB85" s="438"/>
      <c r="AC85" s="437">
        <f t="shared" ref="AC85" si="71">IF(AC74="This Off",AC78,"0")</f>
        <v>7135</v>
      </c>
      <c r="AD85" s="438"/>
      <c r="AE85" s="437">
        <f t="shared" ref="AE85" si="72">IF(AE74="This Off",AE78,"0")</f>
        <v>0</v>
      </c>
      <c r="AF85" s="438"/>
      <c r="AG85" s="439">
        <f>SUM(G85:AF85)</f>
        <v>28043</v>
      </c>
      <c r="AH85" s="440"/>
      <c r="AI85" s="441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19"/>
    </row>
    <row r="86" spans="1:72">
      <c r="A86" s="285" t="s">
        <v>195</v>
      </c>
      <c r="B86" s="200"/>
      <c r="C86" s="200"/>
      <c r="D86" s="200"/>
      <c r="E86" s="200"/>
      <c r="F86" s="286"/>
      <c r="G86" s="433" t="str">
        <f>IF(G74="Other Off",SUM(G21:H22,G29:H36),"0")</f>
        <v>0</v>
      </c>
      <c r="H86" s="434"/>
      <c r="I86" s="433" t="str">
        <f>IF(I74="Other Off",SUM(I21:J22,I29:J36),"0")</f>
        <v>0</v>
      </c>
      <c r="J86" s="434"/>
      <c r="K86" s="433" t="str">
        <f t="shared" ref="K86" si="73">IF(K74="Other Off",SUM(K21:L22,K29:L36),"0")</f>
        <v>0</v>
      </c>
      <c r="L86" s="434"/>
      <c r="M86" s="433" t="str">
        <f t="shared" ref="M86" si="74">IF(M74="Other Off",SUM(M21:N22,M29:N36),"0")</f>
        <v>0</v>
      </c>
      <c r="N86" s="434"/>
      <c r="O86" s="433" t="str">
        <f t="shared" ref="O86" si="75">IF(O74="Other Off",SUM(O21:P22,O29:P36),"0")</f>
        <v>0</v>
      </c>
      <c r="P86" s="434"/>
      <c r="Q86" s="433" t="str">
        <f t="shared" ref="Q86" si="76">IF(Q74="Other Off",SUM(Q21:R22,Q29:R36),"0")</f>
        <v>0</v>
      </c>
      <c r="R86" s="434"/>
      <c r="S86" s="433" t="str">
        <f t="shared" ref="S86" si="77">IF(S74="Other Off",SUM(S21:T22,S29:T36),"0")</f>
        <v>0</v>
      </c>
      <c r="T86" s="434"/>
      <c r="U86" s="433" t="str">
        <f t="shared" ref="U86" si="78">IF(U74="Other Off",SUM(U21:V22,U29:V36),"0")</f>
        <v>0</v>
      </c>
      <c r="V86" s="434"/>
      <c r="W86" s="433" t="str">
        <f t="shared" ref="W86" si="79">IF(W74="Other Off",SUM(W21:X22,W29:X36),"0")</f>
        <v>0</v>
      </c>
      <c r="X86" s="434"/>
      <c r="Y86" s="433" t="str">
        <f t="shared" ref="Y86" si="80">IF(Y74="Other Off",SUM(Y21:Z22,Y29:Z36),"0")</f>
        <v>0</v>
      </c>
      <c r="Z86" s="434"/>
      <c r="AA86" s="433" t="str">
        <f t="shared" ref="AA86" si="81">IF(AA74="Other Off",SUM(AA21:AB22,AA29:AB36),"0")</f>
        <v>0</v>
      </c>
      <c r="AB86" s="434"/>
      <c r="AC86" s="433" t="str">
        <f t="shared" ref="AC86" si="82">IF(AC74="Other Off",SUM(AC21:AD22,AC29:AD36),"0")</f>
        <v>0</v>
      </c>
      <c r="AD86" s="434"/>
      <c r="AE86" s="433" t="str">
        <f t="shared" ref="AE86" si="83">IF(AE74="Other Off",SUM(AE21:AF22,AE29:AF36),"0")</f>
        <v>0</v>
      </c>
      <c r="AF86" s="434"/>
      <c r="AG86" s="347">
        <f>SUM(G86:AF86)</f>
        <v>0</v>
      </c>
      <c r="AH86" s="435"/>
      <c r="AI86" s="436"/>
      <c r="AJ86" s="3"/>
      <c r="AK86" s="2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19"/>
    </row>
    <row r="87" spans="1:72">
      <c r="A87" s="136" t="s">
        <v>196</v>
      </c>
      <c r="B87" s="137"/>
      <c r="C87" s="137"/>
      <c r="D87" s="137"/>
      <c r="E87" s="137"/>
      <c r="F87" s="276"/>
      <c r="G87" s="437" t="str">
        <f>IF(G74="Other Off",G78,"0")</f>
        <v>0</v>
      </c>
      <c r="H87" s="438"/>
      <c r="I87" s="437" t="str">
        <f t="shared" ref="I87" si="84">IF(I74="Other Off",I78,"0")</f>
        <v>0</v>
      </c>
      <c r="J87" s="438"/>
      <c r="K87" s="437" t="str">
        <f t="shared" ref="K87" si="85">IF(K74="Other Off",K78,"0")</f>
        <v>0</v>
      </c>
      <c r="L87" s="438"/>
      <c r="M87" s="437" t="str">
        <f t="shared" ref="M87" si="86">IF(M74="Other Off",M78,"0")</f>
        <v>0</v>
      </c>
      <c r="N87" s="438"/>
      <c r="O87" s="437" t="str">
        <f t="shared" ref="O87" si="87">IF(O74="Other Off",O78,"0")</f>
        <v>0</v>
      </c>
      <c r="P87" s="438"/>
      <c r="Q87" s="437" t="str">
        <f t="shared" ref="Q87" si="88">IF(Q74="Other Off",Q78,"0")</f>
        <v>0</v>
      </c>
      <c r="R87" s="438"/>
      <c r="S87" s="437" t="str">
        <f t="shared" ref="S87" si="89">IF(S74="Other Off",S78,"0")</f>
        <v>0</v>
      </c>
      <c r="T87" s="438"/>
      <c r="U87" s="437" t="str">
        <f t="shared" ref="U87" si="90">IF(U74="Other Off",U78,"0")</f>
        <v>0</v>
      </c>
      <c r="V87" s="438"/>
      <c r="W87" s="437" t="str">
        <f t="shared" ref="W87" si="91">IF(W74="Other Off",W78,"0")</f>
        <v>0</v>
      </c>
      <c r="X87" s="438"/>
      <c r="Y87" s="437" t="str">
        <f t="shared" ref="Y87" si="92">IF(Y74="Other Off",Y78,"0")</f>
        <v>0</v>
      </c>
      <c r="Z87" s="438"/>
      <c r="AA87" s="437" t="str">
        <f t="shared" ref="AA87" si="93">IF(AA74="Other Off",AA78,"0")</f>
        <v>0</v>
      </c>
      <c r="AB87" s="438"/>
      <c r="AC87" s="437" t="str">
        <f t="shared" ref="AC87" si="94">IF(AC74="Other Off",AC78,"0")</f>
        <v>0</v>
      </c>
      <c r="AD87" s="438"/>
      <c r="AE87" s="437" t="str">
        <f t="shared" ref="AE87" si="95">IF(AE74="Other Off",AE78,"0")</f>
        <v>0</v>
      </c>
      <c r="AF87" s="438"/>
      <c r="AG87" s="110">
        <f>SUM(G87:AF87)</f>
        <v>0</v>
      </c>
      <c r="AH87" s="111"/>
      <c r="AI87" s="411"/>
      <c r="AJ87" s="3"/>
      <c r="AK87" s="11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11"/>
    </row>
    <row r="88" spans="1:7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</row>
    <row r="89" spans="1:7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442" t="s">
        <v>197</v>
      </c>
      <c r="N89" s="443"/>
      <c r="O89" s="442" t="s">
        <v>198</v>
      </c>
      <c r="P89" s="443"/>
      <c r="Q89" s="442" t="s">
        <v>197</v>
      </c>
      <c r="R89" s="443"/>
      <c r="S89" s="442" t="s">
        <v>198</v>
      </c>
      <c r="T89" s="443"/>
      <c r="U89" s="442" t="s">
        <v>23</v>
      </c>
      <c r="V89" s="443"/>
      <c r="W89" s="444" t="s">
        <v>199</v>
      </c>
      <c r="X89" s="443"/>
      <c r="Y89" s="442" t="s">
        <v>200</v>
      </c>
      <c r="Z89" s="44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</row>
    <row r="90" spans="1:72">
      <c r="A90" s="3"/>
      <c r="B90" s="3"/>
      <c r="C90" s="3"/>
      <c r="D90" s="3"/>
      <c r="E90" s="3"/>
      <c r="F90" s="3"/>
      <c r="G90" s="348" t="s">
        <v>201</v>
      </c>
      <c r="H90" s="383"/>
      <c r="I90" s="138"/>
      <c r="J90" s="138"/>
      <c r="K90" s="138"/>
      <c r="L90" s="138"/>
      <c r="M90" s="383"/>
      <c r="N90" s="383"/>
      <c r="O90" s="383"/>
      <c r="P90" s="349"/>
      <c r="Q90" s="348">
        <f>BQ66</f>
        <v>7414</v>
      </c>
      <c r="R90" s="349"/>
      <c r="S90" s="348">
        <f>BQ67</f>
        <v>297</v>
      </c>
      <c r="T90" s="349"/>
      <c r="U90" s="348">
        <f>SUM(Q90:T90)</f>
        <v>7711</v>
      </c>
      <c r="V90" s="349"/>
      <c r="W90" s="348">
        <f>BQ71</f>
        <v>28043</v>
      </c>
      <c r="X90" s="349"/>
      <c r="Y90" s="348">
        <f>U90-W90</f>
        <v>-20332</v>
      </c>
      <c r="Z90" s="349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</row>
    <row r="91" spans="1:72">
      <c r="Y91" s="90">
        <f>+AG85</f>
        <v>28043</v>
      </c>
    </row>
  </sheetData>
  <mergeCells count="1564">
    <mergeCell ref="Y89:Z89"/>
    <mergeCell ref="G90:L90"/>
    <mergeCell ref="M90:N90"/>
    <mergeCell ref="O90:P90"/>
    <mergeCell ref="Q90:R90"/>
    <mergeCell ref="S90:T90"/>
    <mergeCell ref="U90:V90"/>
    <mergeCell ref="W90:X90"/>
    <mergeCell ref="Y90:Z90"/>
    <mergeCell ref="M89:N89"/>
    <mergeCell ref="O89:P89"/>
    <mergeCell ref="Q89:R89"/>
    <mergeCell ref="S89:T89"/>
    <mergeCell ref="U89:V89"/>
    <mergeCell ref="W89:X89"/>
    <mergeCell ref="W87:X87"/>
    <mergeCell ref="Y87:Z87"/>
    <mergeCell ref="AA87:AB87"/>
    <mergeCell ref="AC87:AD87"/>
    <mergeCell ref="AE87:AF87"/>
    <mergeCell ref="AG87:AI87"/>
    <mergeCell ref="AG86:AI86"/>
    <mergeCell ref="A87:F87"/>
    <mergeCell ref="G87:H87"/>
    <mergeCell ref="I87:J87"/>
    <mergeCell ref="K87:L87"/>
    <mergeCell ref="M87:N87"/>
    <mergeCell ref="O87:P87"/>
    <mergeCell ref="Q87:R87"/>
    <mergeCell ref="S87:T87"/>
    <mergeCell ref="U87:V87"/>
    <mergeCell ref="U86:V86"/>
    <mergeCell ref="W86:X86"/>
    <mergeCell ref="Y86:Z86"/>
    <mergeCell ref="AA86:AB86"/>
    <mergeCell ref="AC86:AD86"/>
    <mergeCell ref="AE86:AF86"/>
    <mergeCell ref="AE85:AF85"/>
    <mergeCell ref="AG85:AI85"/>
    <mergeCell ref="A86:F86"/>
    <mergeCell ref="G86:H86"/>
    <mergeCell ref="I86:J86"/>
    <mergeCell ref="K86:L86"/>
    <mergeCell ref="M86:N86"/>
    <mergeCell ref="O86:P86"/>
    <mergeCell ref="Q86:R86"/>
    <mergeCell ref="S86:T86"/>
    <mergeCell ref="S85:T85"/>
    <mergeCell ref="U85:V85"/>
    <mergeCell ref="W85:X85"/>
    <mergeCell ref="Y85:Z85"/>
    <mergeCell ref="AA85:AB85"/>
    <mergeCell ref="AC85:AD85"/>
    <mergeCell ref="AC84:AD84"/>
    <mergeCell ref="AE84:AF84"/>
    <mergeCell ref="AG84:AI84"/>
    <mergeCell ref="A85:F85"/>
    <mergeCell ref="G85:H85"/>
    <mergeCell ref="I85:J85"/>
    <mergeCell ref="K85:L85"/>
    <mergeCell ref="M85:N85"/>
    <mergeCell ref="O85:P85"/>
    <mergeCell ref="Q85:R85"/>
    <mergeCell ref="Q84:R84"/>
    <mergeCell ref="S84:T84"/>
    <mergeCell ref="U84:V84"/>
    <mergeCell ref="W84:X84"/>
    <mergeCell ref="Y84:Z84"/>
    <mergeCell ref="AA84:AB84"/>
    <mergeCell ref="A84:F84"/>
    <mergeCell ref="G84:H84"/>
    <mergeCell ref="I84:J84"/>
    <mergeCell ref="K84:L84"/>
    <mergeCell ref="M84:N84"/>
    <mergeCell ref="O84:P84"/>
    <mergeCell ref="W83:X83"/>
    <mergeCell ref="Y83:Z83"/>
    <mergeCell ref="AA83:AB83"/>
    <mergeCell ref="AC83:AD83"/>
    <mergeCell ref="AE83:AF83"/>
    <mergeCell ref="AG83:AI83"/>
    <mergeCell ref="AG82:AI82"/>
    <mergeCell ref="A83:F83"/>
    <mergeCell ref="G83:H83"/>
    <mergeCell ref="I83:J83"/>
    <mergeCell ref="K83:L83"/>
    <mergeCell ref="M83:N83"/>
    <mergeCell ref="O83:P83"/>
    <mergeCell ref="Q83:R83"/>
    <mergeCell ref="S83:T83"/>
    <mergeCell ref="U83:V83"/>
    <mergeCell ref="U82:V82"/>
    <mergeCell ref="W82:X82"/>
    <mergeCell ref="Y82:Z82"/>
    <mergeCell ref="AA82:AB82"/>
    <mergeCell ref="AC82:AD82"/>
    <mergeCell ref="AE82:AF82"/>
    <mergeCell ref="AE81:AF81"/>
    <mergeCell ref="AG81:AI81"/>
    <mergeCell ref="A82:F82"/>
    <mergeCell ref="G82:H82"/>
    <mergeCell ref="I82:J82"/>
    <mergeCell ref="K82:L82"/>
    <mergeCell ref="M82:N82"/>
    <mergeCell ref="O82:P82"/>
    <mergeCell ref="Q82:R82"/>
    <mergeCell ref="S82:T82"/>
    <mergeCell ref="S81:T81"/>
    <mergeCell ref="U81:V81"/>
    <mergeCell ref="W81:X81"/>
    <mergeCell ref="Y81:Z81"/>
    <mergeCell ref="AA81:AB81"/>
    <mergeCell ref="AC81:AD81"/>
    <mergeCell ref="AC80:AD80"/>
    <mergeCell ref="AE80:AF80"/>
    <mergeCell ref="AG80:AI80"/>
    <mergeCell ref="A81:F81"/>
    <mergeCell ref="G81:H81"/>
    <mergeCell ref="I81:J81"/>
    <mergeCell ref="K81:L81"/>
    <mergeCell ref="M81:N81"/>
    <mergeCell ref="O81:P81"/>
    <mergeCell ref="Q81:R81"/>
    <mergeCell ref="Q80:R80"/>
    <mergeCell ref="S80:T80"/>
    <mergeCell ref="U80:V80"/>
    <mergeCell ref="W80:X80"/>
    <mergeCell ref="Y80:Z80"/>
    <mergeCell ref="AA80:AB80"/>
    <mergeCell ref="A80:F80"/>
    <mergeCell ref="G80:H80"/>
    <mergeCell ref="I80:J80"/>
    <mergeCell ref="K80:L80"/>
    <mergeCell ref="M80:N80"/>
    <mergeCell ref="O80:P80"/>
    <mergeCell ref="AA79:AB79"/>
    <mergeCell ref="AC79:AD79"/>
    <mergeCell ref="AE79:AF79"/>
    <mergeCell ref="AG79:AI79"/>
    <mergeCell ref="BF79:BI79"/>
    <mergeCell ref="BJ79:BS79"/>
    <mergeCell ref="O79:P79"/>
    <mergeCell ref="Q79:R79"/>
    <mergeCell ref="S79:T79"/>
    <mergeCell ref="U79:V79"/>
    <mergeCell ref="W79:X79"/>
    <mergeCell ref="Y79:Z79"/>
    <mergeCell ref="AC78:AD78"/>
    <mergeCell ref="AE78:AF78"/>
    <mergeCell ref="AG78:AI78"/>
    <mergeCell ref="BF78:BI78"/>
    <mergeCell ref="BJ78:BS78"/>
    <mergeCell ref="A79:F79"/>
    <mergeCell ref="G79:H79"/>
    <mergeCell ref="I79:J79"/>
    <mergeCell ref="K79:L79"/>
    <mergeCell ref="M79:N79"/>
    <mergeCell ref="Q78:R78"/>
    <mergeCell ref="S78:T78"/>
    <mergeCell ref="U78:V78"/>
    <mergeCell ref="W78:X78"/>
    <mergeCell ref="Y78:Z78"/>
    <mergeCell ref="AA78:AB78"/>
    <mergeCell ref="AE77:AF77"/>
    <mergeCell ref="AG77:AI77"/>
    <mergeCell ref="BF77:BI77"/>
    <mergeCell ref="BJ77:BS77"/>
    <mergeCell ref="A78:F78"/>
    <mergeCell ref="G78:H78"/>
    <mergeCell ref="I78:J78"/>
    <mergeCell ref="K78:L78"/>
    <mergeCell ref="M78:N78"/>
    <mergeCell ref="O78:P78"/>
    <mergeCell ref="S77:T77"/>
    <mergeCell ref="U77:V77"/>
    <mergeCell ref="W77:X77"/>
    <mergeCell ref="Y77:Z77"/>
    <mergeCell ref="AA77:AB77"/>
    <mergeCell ref="AC77:AD77"/>
    <mergeCell ref="AG76:AI76"/>
    <mergeCell ref="BF76:BI76"/>
    <mergeCell ref="BJ76:BS76"/>
    <mergeCell ref="A77:F77"/>
    <mergeCell ref="G77:H77"/>
    <mergeCell ref="I77:J77"/>
    <mergeCell ref="K77:L77"/>
    <mergeCell ref="M77:N77"/>
    <mergeCell ref="O77:P77"/>
    <mergeCell ref="Q77:R77"/>
    <mergeCell ref="U76:V76"/>
    <mergeCell ref="W76:X76"/>
    <mergeCell ref="Y76:Z76"/>
    <mergeCell ref="AA76:AB76"/>
    <mergeCell ref="AC76:AD76"/>
    <mergeCell ref="AE76:AF76"/>
    <mergeCell ref="BF75:BI75"/>
    <mergeCell ref="BJ75:BS75"/>
    <mergeCell ref="A76:F76"/>
    <mergeCell ref="G76:H76"/>
    <mergeCell ref="I76:J76"/>
    <mergeCell ref="K76:L76"/>
    <mergeCell ref="M76:N76"/>
    <mergeCell ref="O76:P76"/>
    <mergeCell ref="Q76:R76"/>
    <mergeCell ref="S76:T76"/>
    <mergeCell ref="W75:X75"/>
    <mergeCell ref="Y75:Z75"/>
    <mergeCell ref="AA75:AB75"/>
    <mergeCell ref="AC75:AD75"/>
    <mergeCell ref="AE75:AF75"/>
    <mergeCell ref="AG75:AI75"/>
    <mergeCell ref="AG74:AI74"/>
    <mergeCell ref="A75:F75"/>
    <mergeCell ref="G75:H75"/>
    <mergeCell ref="I75:J75"/>
    <mergeCell ref="K75:L75"/>
    <mergeCell ref="M75:N75"/>
    <mergeCell ref="O75:P75"/>
    <mergeCell ref="Q75:R75"/>
    <mergeCell ref="S75:T75"/>
    <mergeCell ref="U75:V75"/>
    <mergeCell ref="U74:V74"/>
    <mergeCell ref="W74:X74"/>
    <mergeCell ref="Y74:Z74"/>
    <mergeCell ref="AA74:AB74"/>
    <mergeCell ref="AC74:AD74"/>
    <mergeCell ref="AE74:AF74"/>
    <mergeCell ref="AE73:AF73"/>
    <mergeCell ref="AG73:AI73"/>
    <mergeCell ref="A74:F74"/>
    <mergeCell ref="G74:H74"/>
    <mergeCell ref="I74:J74"/>
    <mergeCell ref="K74:L74"/>
    <mergeCell ref="M74:N74"/>
    <mergeCell ref="O74:P74"/>
    <mergeCell ref="Q74:R74"/>
    <mergeCell ref="S74:T74"/>
    <mergeCell ref="S73:T73"/>
    <mergeCell ref="U73:V73"/>
    <mergeCell ref="W73:X73"/>
    <mergeCell ref="Y73:Z73"/>
    <mergeCell ref="AA73:AB73"/>
    <mergeCell ref="AC73:AD73"/>
    <mergeCell ref="A73:H73"/>
    <mergeCell ref="I73:J73"/>
    <mergeCell ref="K73:L73"/>
    <mergeCell ref="M73:N73"/>
    <mergeCell ref="O73:P73"/>
    <mergeCell ref="Q73:R73"/>
    <mergeCell ref="AG71:AI71"/>
    <mergeCell ref="AM71:BI71"/>
    <mergeCell ref="BK71:BL71"/>
    <mergeCell ref="BN71:BO71"/>
    <mergeCell ref="BQ71:BS71"/>
    <mergeCell ref="AM72:BI72"/>
    <mergeCell ref="BK72:BL72"/>
    <mergeCell ref="BN72:BO72"/>
    <mergeCell ref="BQ72:BS72"/>
    <mergeCell ref="U71:V71"/>
    <mergeCell ref="W71:X71"/>
    <mergeCell ref="Y71:Z71"/>
    <mergeCell ref="AA71:AB71"/>
    <mergeCell ref="AC71:AD71"/>
    <mergeCell ref="AE71:AF71"/>
    <mergeCell ref="BN70:BO70"/>
    <mergeCell ref="BQ70:BS70"/>
    <mergeCell ref="A71:F71"/>
    <mergeCell ref="G71:H71"/>
    <mergeCell ref="I71:J71"/>
    <mergeCell ref="K71:L71"/>
    <mergeCell ref="M71:N71"/>
    <mergeCell ref="O71:P71"/>
    <mergeCell ref="Q71:R71"/>
    <mergeCell ref="S71:T71"/>
    <mergeCell ref="AA70:AB70"/>
    <mergeCell ref="AC70:AD70"/>
    <mergeCell ref="AE70:AF70"/>
    <mergeCell ref="AG70:AI70"/>
    <mergeCell ref="AM70:BI70"/>
    <mergeCell ref="BK70:BL70"/>
    <mergeCell ref="O70:P70"/>
    <mergeCell ref="Q70:R70"/>
    <mergeCell ref="S70:T70"/>
    <mergeCell ref="U70:V70"/>
    <mergeCell ref="W70:X70"/>
    <mergeCell ref="Y70:Z70"/>
    <mergeCell ref="AG69:AI69"/>
    <mergeCell ref="AM69:BI69"/>
    <mergeCell ref="BK69:BL69"/>
    <mergeCell ref="BN69:BO69"/>
    <mergeCell ref="BQ69:BS69"/>
    <mergeCell ref="A70:F70"/>
    <mergeCell ref="G70:H70"/>
    <mergeCell ref="I70:J70"/>
    <mergeCell ref="K70:L70"/>
    <mergeCell ref="M70:N70"/>
    <mergeCell ref="U69:V69"/>
    <mergeCell ref="W69:X69"/>
    <mergeCell ref="Y69:Z69"/>
    <mergeCell ref="AA69:AB69"/>
    <mergeCell ref="AC69:AD69"/>
    <mergeCell ref="AE69:AF69"/>
    <mergeCell ref="BN68:BO68"/>
    <mergeCell ref="BQ68:BS68"/>
    <mergeCell ref="A69:F69"/>
    <mergeCell ref="G69:H69"/>
    <mergeCell ref="I69:J69"/>
    <mergeCell ref="K69:L69"/>
    <mergeCell ref="M69:N69"/>
    <mergeCell ref="O69:P69"/>
    <mergeCell ref="Q69:R69"/>
    <mergeCell ref="S69:T69"/>
    <mergeCell ref="AA68:AB68"/>
    <mergeCell ref="AC68:AD68"/>
    <mergeCell ref="AE68:AF68"/>
    <mergeCell ref="AG68:AI68"/>
    <mergeCell ref="AM68:BI68"/>
    <mergeCell ref="BK68:BL68"/>
    <mergeCell ref="O68:P68"/>
    <mergeCell ref="Q68:R68"/>
    <mergeCell ref="S68:T68"/>
    <mergeCell ref="U68:V68"/>
    <mergeCell ref="W68:X68"/>
    <mergeCell ref="Y68:Z68"/>
    <mergeCell ref="AG67:AI67"/>
    <mergeCell ref="AM67:AU67"/>
    <mergeCell ref="AW67:BF67"/>
    <mergeCell ref="BH67:BO67"/>
    <mergeCell ref="BQ67:BS67"/>
    <mergeCell ref="A68:F68"/>
    <mergeCell ref="G68:H68"/>
    <mergeCell ref="I68:J68"/>
    <mergeCell ref="K68:L68"/>
    <mergeCell ref="M68:N68"/>
    <mergeCell ref="U67:V67"/>
    <mergeCell ref="W67:X67"/>
    <mergeCell ref="Y67:Z67"/>
    <mergeCell ref="AA67:AB67"/>
    <mergeCell ref="AC67:AD67"/>
    <mergeCell ref="AE67:AF67"/>
    <mergeCell ref="BN66:BO66"/>
    <mergeCell ref="BQ66:BS66"/>
    <mergeCell ref="A67:F67"/>
    <mergeCell ref="G67:H67"/>
    <mergeCell ref="I67:J67"/>
    <mergeCell ref="K67:L67"/>
    <mergeCell ref="M67:N67"/>
    <mergeCell ref="O67:P67"/>
    <mergeCell ref="Q67:R67"/>
    <mergeCell ref="S67:T67"/>
    <mergeCell ref="AA66:AB66"/>
    <mergeCell ref="AC66:AD66"/>
    <mergeCell ref="AE66:AF66"/>
    <mergeCell ref="AG66:AI66"/>
    <mergeCell ref="AM66:BI66"/>
    <mergeCell ref="BK66:BL66"/>
    <mergeCell ref="O66:P66"/>
    <mergeCell ref="Q66:R66"/>
    <mergeCell ref="S66:T66"/>
    <mergeCell ref="U66:V66"/>
    <mergeCell ref="W66:X66"/>
    <mergeCell ref="Y66:Z66"/>
    <mergeCell ref="AG65:AI65"/>
    <mergeCell ref="AM65:BI65"/>
    <mergeCell ref="BK65:BL65"/>
    <mergeCell ref="BN65:BO65"/>
    <mergeCell ref="BQ65:BS65"/>
    <mergeCell ref="A66:F66"/>
    <mergeCell ref="G66:H66"/>
    <mergeCell ref="I66:J66"/>
    <mergeCell ref="K66:L66"/>
    <mergeCell ref="M66:N66"/>
    <mergeCell ref="U65:V65"/>
    <mergeCell ref="W65:X65"/>
    <mergeCell ref="Y65:Z65"/>
    <mergeCell ref="AA65:AB65"/>
    <mergeCell ref="AC65:AD65"/>
    <mergeCell ref="AE65:AF65"/>
    <mergeCell ref="BM64:BO64"/>
    <mergeCell ref="BQ64:BS64"/>
    <mergeCell ref="A65:F65"/>
    <mergeCell ref="G65:H65"/>
    <mergeCell ref="I65:J65"/>
    <mergeCell ref="K65:L65"/>
    <mergeCell ref="M65:N65"/>
    <mergeCell ref="O65:P65"/>
    <mergeCell ref="Q65:R65"/>
    <mergeCell ref="S65:T65"/>
    <mergeCell ref="AA64:AB64"/>
    <mergeCell ref="AC64:AD64"/>
    <mergeCell ref="AE64:AF64"/>
    <mergeCell ref="AG64:AI64"/>
    <mergeCell ref="AM64:BG64"/>
    <mergeCell ref="BI64:BK64"/>
    <mergeCell ref="O64:P64"/>
    <mergeCell ref="Q64:R64"/>
    <mergeCell ref="S64:T64"/>
    <mergeCell ref="U64:V64"/>
    <mergeCell ref="W64:X64"/>
    <mergeCell ref="Y64:Z64"/>
    <mergeCell ref="AA63:AB63"/>
    <mergeCell ref="AC63:AD63"/>
    <mergeCell ref="AE63:AF63"/>
    <mergeCell ref="AG63:AI63"/>
    <mergeCell ref="BQ63:BS63"/>
    <mergeCell ref="A64:F64"/>
    <mergeCell ref="G64:H64"/>
    <mergeCell ref="I64:J64"/>
    <mergeCell ref="K64:L64"/>
    <mergeCell ref="M64:N64"/>
    <mergeCell ref="O63:P63"/>
    <mergeCell ref="Q63:R63"/>
    <mergeCell ref="S63:T63"/>
    <mergeCell ref="U63:V63"/>
    <mergeCell ref="W63:X63"/>
    <mergeCell ref="Y63:Z63"/>
    <mergeCell ref="BH62:BH63"/>
    <mergeCell ref="BI62:BK63"/>
    <mergeCell ref="BL62:BL63"/>
    <mergeCell ref="BM62:BO63"/>
    <mergeCell ref="BQ62:BS62"/>
    <mergeCell ref="A63:F63"/>
    <mergeCell ref="G63:H63"/>
    <mergeCell ref="I63:J63"/>
    <mergeCell ref="K63:L63"/>
    <mergeCell ref="M63:N63"/>
    <mergeCell ref="AP62:AR63"/>
    <mergeCell ref="AS62:AX63"/>
    <mergeCell ref="AY62:BD63"/>
    <mergeCell ref="S62:T62"/>
    <mergeCell ref="U62:V62"/>
    <mergeCell ref="W62:X62"/>
    <mergeCell ref="Y62:Z62"/>
    <mergeCell ref="AA62:AB62"/>
    <mergeCell ref="AC62:AD62"/>
    <mergeCell ref="AE61:AF61"/>
    <mergeCell ref="AG61:AI61"/>
    <mergeCell ref="BQ61:BS61"/>
    <mergeCell ref="A62:F62"/>
    <mergeCell ref="G62:H62"/>
    <mergeCell ref="I62:J62"/>
    <mergeCell ref="K62:L62"/>
    <mergeCell ref="M62:N62"/>
    <mergeCell ref="O62:P62"/>
    <mergeCell ref="Q62:R62"/>
    <mergeCell ref="S61:T61"/>
    <mergeCell ref="U61:V61"/>
    <mergeCell ref="W61:X61"/>
    <mergeCell ref="Y61:Z61"/>
    <mergeCell ref="AA61:AB61"/>
    <mergeCell ref="AC61:AD61"/>
    <mergeCell ref="BL60:BL61"/>
    <mergeCell ref="BM60:BO61"/>
    <mergeCell ref="BQ60:BS60"/>
    <mergeCell ref="A61:F61"/>
    <mergeCell ref="G61:H61"/>
    <mergeCell ref="I61:J61"/>
    <mergeCell ref="K61:L61"/>
    <mergeCell ref="M61:N61"/>
    <mergeCell ref="O61:P61"/>
    <mergeCell ref="Q61:R61"/>
    <mergeCell ref="AM60:AO61"/>
    <mergeCell ref="AP60:AR61"/>
    <mergeCell ref="AS60:AX61"/>
    <mergeCell ref="AY60:BD61"/>
    <mergeCell ref="BH60:BH61"/>
    <mergeCell ref="BI60:BK61"/>
    <mergeCell ref="W60:X60"/>
    <mergeCell ref="Y60:Z60"/>
    <mergeCell ref="AA60:AB60"/>
    <mergeCell ref="AC60:AD60"/>
    <mergeCell ref="AE60:AF60"/>
    <mergeCell ref="AG60:AI60"/>
    <mergeCell ref="A60:F60"/>
    <mergeCell ref="G60:H60"/>
    <mergeCell ref="I60:J60"/>
    <mergeCell ref="K60:L60"/>
    <mergeCell ref="M60:N60"/>
    <mergeCell ref="O60:P60"/>
    <mergeCell ref="Q60:R60"/>
    <mergeCell ref="S60:T60"/>
    <mergeCell ref="U60:V60"/>
    <mergeCell ref="W59:X59"/>
    <mergeCell ref="Y59:Z59"/>
    <mergeCell ref="AA59:AB59"/>
    <mergeCell ref="AC59:AD59"/>
    <mergeCell ref="AE59:AF59"/>
    <mergeCell ref="BM58:BO59"/>
    <mergeCell ref="BQ58:BS58"/>
    <mergeCell ref="A59:F59"/>
    <mergeCell ref="G59:H59"/>
    <mergeCell ref="I59:J59"/>
    <mergeCell ref="K59:L59"/>
    <mergeCell ref="M59:N59"/>
    <mergeCell ref="O59:P59"/>
    <mergeCell ref="Q59:R59"/>
    <mergeCell ref="S59:T59"/>
    <mergeCell ref="AP58:AR59"/>
    <mergeCell ref="AS58:AX59"/>
    <mergeCell ref="AY58:BD59"/>
    <mergeCell ref="BH58:BH59"/>
    <mergeCell ref="BI58:BK59"/>
    <mergeCell ref="BL58:BL59"/>
    <mergeCell ref="Y58:Z58"/>
    <mergeCell ref="A57:F57"/>
    <mergeCell ref="G57:H57"/>
    <mergeCell ref="I57:J57"/>
    <mergeCell ref="K57:L57"/>
    <mergeCell ref="M57:N57"/>
    <mergeCell ref="O57:P57"/>
    <mergeCell ref="B55:F55"/>
    <mergeCell ref="G55:H55"/>
    <mergeCell ref="I55:J55"/>
    <mergeCell ref="K55:L55"/>
    <mergeCell ref="M55:N55"/>
    <mergeCell ref="O55:P55"/>
    <mergeCell ref="Q55:R55"/>
    <mergeCell ref="BQ59:BS59"/>
    <mergeCell ref="AA55:AB55"/>
    <mergeCell ref="AC55:AD55"/>
    <mergeCell ref="AY56:BD57"/>
    <mergeCell ref="AA58:AB58"/>
    <mergeCell ref="AC58:AD58"/>
    <mergeCell ref="AE58:AF58"/>
    <mergeCell ref="AG58:AI58"/>
    <mergeCell ref="AM58:AO59"/>
    <mergeCell ref="AG59:AI59"/>
    <mergeCell ref="A58:N58"/>
    <mergeCell ref="O58:P58"/>
    <mergeCell ref="Q58:R58"/>
    <mergeCell ref="S58:T58"/>
    <mergeCell ref="BH56:BH57"/>
    <mergeCell ref="BI56:BK57"/>
    <mergeCell ref="BL56:BL57"/>
    <mergeCell ref="BM56:BO57"/>
    <mergeCell ref="BQ56:BS56"/>
    <mergeCell ref="BQ57:BS57"/>
    <mergeCell ref="AC56:AD56"/>
    <mergeCell ref="AE56:AF56"/>
    <mergeCell ref="AG56:AI56"/>
    <mergeCell ref="AM56:AO57"/>
    <mergeCell ref="AP56:AR57"/>
    <mergeCell ref="AS56:AX57"/>
    <mergeCell ref="AC57:AD57"/>
    <mergeCell ref="AE57:AF57"/>
    <mergeCell ref="AG57:AI57"/>
    <mergeCell ref="Q56:R56"/>
    <mergeCell ref="S56:T56"/>
    <mergeCell ref="U56:V56"/>
    <mergeCell ref="W56:X56"/>
    <mergeCell ref="Y56:Z56"/>
    <mergeCell ref="AA56:AB56"/>
    <mergeCell ref="BE55:BG63"/>
    <mergeCell ref="BI55:BK55"/>
    <mergeCell ref="BM55:BO55"/>
    <mergeCell ref="BQ55:BS55"/>
    <mergeCell ref="U58:V58"/>
    <mergeCell ref="W58:X58"/>
    <mergeCell ref="Q57:R57"/>
    <mergeCell ref="S57:T57"/>
    <mergeCell ref="U57:V57"/>
    <mergeCell ref="W57:X57"/>
    <mergeCell ref="Y57:Z57"/>
    <mergeCell ref="AA57:AB57"/>
    <mergeCell ref="AE62:AF62"/>
    <mergeCell ref="AG62:AI62"/>
    <mergeCell ref="AM62:AO63"/>
    <mergeCell ref="U59:V59"/>
    <mergeCell ref="AE53:AF53"/>
    <mergeCell ref="AG53:AI53"/>
    <mergeCell ref="AM53:AR53"/>
    <mergeCell ref="AS53:BD53"/>
    <mergeCell ref="BE53:BG54"/>
    <mergeCell ref="BH53:BK54"/>
    <mergeCell ref="AE54:AF54"/>
    <mergeCell ref="AG54:AI54"/>
    <mergeCell ref="AM54:AO54"/>
    <mergeCell ref="AP54:AR54"/>
    <mergeCell ref="S53:T53"/>
    <mergeCell ref="U53:V53"/>
    <mergeCell ref="W53:X53"/>
    <mergeCell ref="Y53:Z53"/>
    <mergeCell ref="AA53:AB53"/>
    <mergeCell ref="AC53:AD53"/>
    <mergeCell ref="A56:F56"/>
    <mergeCell ref="G56:H56"/>
    <mergeCell ref="I56:J56"/>
    <mergeCell ref="K56:L56"/>
    <mergeCell ref="M56:N56"/>
    <mergeCell ref="O56:P56"/>
    <mergeCell ref="AE55:AF55"/>
    <mergeCell ref="AG55:AI55"/>
    <mergeCell ref="AM55:AO55"/>
    <mergeCell ref="AP55:AR55"/>
    <mergeCell ref="AS55:AX55"/>
    <mergeCell ref="AY55:BD55"/>
    <mergeCell ref="S55:T55"/>
    <mergeCell ref="U55:V55"/>
    <mergeCell ref="W55:X55"/>
    <mergeCell ref="Y55:Z55"/>
    <mergeCell ref="B53:F53"/>
    <mergeCell ref="G53:H53"/>
    <mergeCell ref="I53:J53"/>
    <mergeCell ref="K53:L53"/>
    <mergeCell ref="M53:N53"/>
    <mergeCell ref="O53:P53"/>
    <mergeCell ref="Q53:R53"/>
    <mergeCell ref="U52:V52"/>
    <mergeCell ref="W52:X52"/>
    <mergeCell ref="Y52:Z52"/>
    <mergeCell ref="AA52:AB52"/>
    <mergeCell ref="AC52:AD52"/>
    <mergeCell ref="AE52:AF52"/>
    <mergeCell ref="AS54:AX54"/>
    <mergeCell ref="AY54:BD54"/>
    <mergeCell ref="BQ54:BS54"/>
    <mergeCell ref="S54:T54"/>
    <mergeCell ref="U54:V54"/>
    <mergeCell ref="W54:X54"/>
    <mergeCell ref="Y54:Z54"/>
    <mergeCell ref="AA54:AB54"/>
    <mergeCell ref="AC54:AD54"/>
    <mergeCell ref="BL53:BL54"/>
    <mergeCell ref="BM53:BO54"/>
    <mergeCell ref="BQ53:BS53"/>
    <mergeCell ref="B54:F54"/>
    <mergeCell ref="G54:H54"/>
    <mergeCell ref="I54:J54"/>
    <mergeCell ref="K54:L54"/>
    <mergeCell ref="M54:N54"/>
    <mergeCell ref="O54:P54"/>
    <mergeCell ref="Q54:R54"/>
    <mergeCell ref="BN51:BO51"/>
    <mergeCell ref="BQ51:BS51"/>
    <mergeCell ref="B52:F52"/>
    <mergeCell ref="G52:H52"/>
    <mergeCell ref="I52:J52"/>
    <mergeCell ref="K52:L52"/>
    <mergeCell ref="M52:N52"/>
    <mergeCell ref="O52:P52"/>
    <mergeCell ref="Q52:R52"/>
    <mergeCell ref="S52:T52"/>
    <mergeCell ref="AA51:AB51"/>
    <mergeCell ref="AC51:AD51"/>
    <mergeCell ref="AE51:AF51"/>
    <mergeCell ref="AG51:AI51"/>
    <mergeCell ref="AM51:BI51"/>
    <mergeCell ref="BK51:BL51"/>
    <mergeCell ref="O51:P51"/>
    <mergeCell ref="Q51:R51"/>
    <mergeCell ref="S51:T51"/>
    <mergeCell ref="U51:V51"/>
    <mergeCell ref="W51:X51"/>
    <mergeCell ref="Y51:Z51"/>
    <mergeCell ref="AG52:AI52"/>
    <mergeCell ref="AM52:BO52"/>
    <mergeCell ref="BQ52:BS52"/>
    <mergeCell ref="AG50:AI50"/>
    <mergeCell ref="AM50:BI50"/>
    <mergeCell ref="BK50:BL50"/>
    <mergeCell ref="BN50:BO50"/>
    <mergeCell ref="BQ50:BS50"/>
    <mergeCell ref="B51:F51"/>
    <mergeCell ref="G51:H51"/>
    <mergeCell ref="I51:J51"/>
    <mergeCell ref="K51:L51"/>
    <mergeCell ref="M51:N51"/>
    <mergeCell ref="U50:V50"/>
    <mergeCell ref="W50:X50"/>
    <mergeCell ref="Y50:Z50"/>
    <mergeCell ref="AA50:AB50"/>
    <mergeCell ref="AC50:AD50"/>
    <mergeCell ref="AE50:AF50"/>
    <mergeCell ref="BN49:BO49"/>
    <mergeCell ref="BQ49:BS49"/>
    <mergeCell ref="B50:F50"/>
    <mergeCell ref="G50:H50"/>
    <mergeCell ref="I50:J50"/>
    <mergeCell ref="K50:L50"/>
    <mergeCell ref="M50:N50"/>
    <mergeCell ref="O50:P50"/>
    <mergeCell ref="Q50:R50"/>
    <mergeCell ref="S50:T50"/>
    <mergeCell ref="AG49:AI49"/>
    <mergeCell ref="AO49:AQ49"/>
    <mergeCell ref="AR49:BA49"/>
    <mergeCell ref="BC49:BF49"/>
    <mergeCell ref="BG49:BI49"/>
    <mergeCell ref="BK49:BL49"/>
    <mergeCell ref="U49:V49"/>
    <mergeCell ref="W49:X49"/>
    <mergeCell ref="Y49:Z49"/>
    <mergeCell ref="AA49:AB49"/>
    <mergeCell ref="AC49:AD49"/>
    <mergeCell ref="AE49:AF49"/>
    <mergeCell ref="BK48:BL48"/>
    <mergeCell ref="BN48:BO48"/>
    <mergeCell ref="A49:F49"/>
    <mergeCell ref="G49:H49"/>
    <mergeCell ref="I49:J49"/>
    <mergeCell ref="K49:L49"/>
    <mergeCell ref="M49:N49"/>
    <mergeCell ref="O49:P49"/>
    <mergeCell ref="Q49:R49"/>
    <mergeCell ref="S49:T49"/>
    <mergeCell ref="AE48:AF48"/>
    <mergeCell ref="AG48:AI48"/>
    <mergeCell ref="AO48:AQ48"/>
    <mergeCell ref="AR48:BA48"/>
    <mergeCell ref="BC48:BF48"/>
    <mergeCell ref="BG48:BI48"/>
    <mergeCell ref="S48:T48"/>
    <mergeCell ref="U48:V48"/>
    <mergeCell ref="W48:X48"/>
    <mergeCell ref="Y48:Z48"/>
    <mergeCell ref="AA48:AB48"/>
    <mergeCell ref="AC48:AD48"/>
    <mergeCell ref="A48:F48"/>
    <mergeCell ref="G48:H48"/>
    <mergeCell ref="I48:J48"/>
    <mergeCell ref="K48:L48"/>
    <mergeCell ref="M48:N48"/>
    <mergeCell ref="O48:P48"/>
    <mergeCell ref="Q48:R48"/>
    <mergeCell ref="AE47:AF47"/>
    <mergeCell ref="AG47:AI47"/>
    <mergeCell ref="AO47:AQ47"/>
    <mergeCell ref="AR47:BA47"/>
    <mergeCell ref="BC47:BF47"/>
    <mergeCell ref="BG47:BI47"/>
    <mergeCell ref="S47:T47"/>
    <mergeCell ref="U47:V47"/>
    <mergeCell ref="W47:X47"/>
    <mergeCell ref="Y47:Z47"/>
    <mergeCell ref="AA47:AB47"/>
    <mergeCell ref="AC47:AD47"/>
    <mergeCell ref="BK46:BL46"/>
    <mergeCell ref="BN46:BO46"/>
    <mergeCell ref="BQ46:BS46"/>
    <mergeCell ref="B47:F47"/>
    <mergeCell ref="G47:H47"/>
    <mergeCell ref="I47:J47"/>
    <mergeCell ref="K47:L47"/>
    <mergeCell ref="M47:N47"/>
    <mergeCell ref="O47:P47"/>
    <mergeCell ref="Q47:R47"/>
    <mergeCell ref="AC46:AF46"/>
    <mergeCell ref="AG46:AI46"/>
    <mergeCell ref="AO46:AQ46"/>
    <mergeCell ref="AR46:BA46"/>
    <mergeCell ref="BC46:BF46"/>
    <mergeCell ref="BG46:BI46"/>
    <mergeCell ref="B46:F46"/>
    <mergeCell ref="I46:L46"/>
    <mergeCell ref="M46:P46"/>
    <mergeCell ref="Q46:T46"/>
    <mergeCell ref="U46:X46"/>
    <mergeCell ref="Y46:AB46"/>
    <mergeCell ref="BK47:BL47"/>
    <mergeCell ref="BN47:BO47"/>
    <mergeCell ref="BQ47:BS47"/>
    <mergeCell ref="AR45:BA45"/>
    <mergeCell ref="BC45:BF45"/>
    <mergeCell ref="BG45:BI45"/>
    <mergeCell ref="BK45:BL45"/>
    <mergeCell ref="BN45:BO45"/>
    <mergeCell ref="BQ45:BS45"/>
    <mergeCell ref="BQ44:BS44"/>
    <mergeCell ref="B45:F45"/>
    <mergeCell ref="I45:L45"/>
    <mergeCell ref="M45:P45"/>
    <mergeCell ref="Q45:T45"/>
    <mergeCell ref="U45:X45"/>
    <mergeCell ref="Y45:AB45"/>
    <mergeCell ref="AC45:AF45"/>
    <mergeCell ref="AG45:AI45"/>
    <mergeCell ref="AO45:AQ45"/>
    <mergeCell ref="AO44:AQ44"/>
    <mergeCell ref="AR44:BA44"/>
    <mergeCell ref="BC44:BF44"/>
    <mergeCell ref="BG44:BI44"/>
    <mergeCell ref="BK44:BL44"/>
    <mergeCell ref="BN44:BO44"/>
    <mergeCell ref="BN43:BO43"/>
    <mergeCell ref="BQ43:BS43"/>
    <mergeCell ref="B44:F44"/>
    <mergeCell ref="I44:L44"/>
    <mergeCell ref="M44:P44"/>
    <mergeCell ref="Q44:T44"/>
    <mergeCell ref="U44:X44"/>
    <mergeCell ref="Y44:AB44"/>
    <mergeCell ref="AC44:AF44"/>
    <mergeCell ref="AG44:AI44"/>
    <mergeCell ref="AO43:AQ43"/>
    <mergeCell ref="AR43:AX43"/>
    <mergeCell ref="AZ43:BC43"/>
    <mergeCell ref="BD43:BF43"/>
    <mergeCell ref="BH43:BI43"/>
    <mergeCell ref="BK43:BL43"/>
    <mergeCell ref="BQ42:BS42"/>
    <mergeCell ref="B43:F43"/>
    <mergeCell ref="G43:H43"/>
    <mergeCell ref="I43:L43"/>
    <mergeCell ref="M43:P43"/>
    <mergeCell ref="Q43:T43"/>
    <mergeCell ref="U43:X43"/>
    <mergeCell ref="Y43:AB43"/>
    <mergeCell ref="AC43:AF43"/>
    <mergeCell ref="AG43:AI43"/>
    <mergeCell ref="AG42:AI42"/>
    <mergeCell ref="AO42:AQ42"/>
    <mergeCell ref="AR42:BF42"/>
    <mergeCell ref="BH42:BI42"/>
    <mergeCell ref="BK42:BL42"/>
    <mergeCell ref="BN42:BO42"/>
    <mergeCell ref="U42:V42"/>
    <mergeCell ref="W42:X42"/>
    <mergeCell ref="Y42:Z42"/>
    <mergeCell ref="AA42:AB42"/>
    <mergeCell ref="AC42:AD42"/>
    <mergeCell ref="AE42:AF42"/>
    <mergeCell ref="BN41:BO41"/>
    <mergeCell ref="BQ41:BS41"/>
    <mergeCell ref="A42:F42"/>
    <mergeCell ref="G42:H42"/>
    <mergeCell ref="I42:J42"/>
    <mergeCell ref="K42:L42"/>
    <mergeCell ref="M42:N42"/>
    <mergeCell ref="O42:P42"/>
    <mergeCell ref="Q42:R42"/>
    <mergeCell ref="S42:T42"/>
    <mergeCell ref="AE41:AF41"/>
    <mergeCell ref="AG41:AI41"/>
    <mergeCell ref="AO41:AQ41"/>
    <mergeCell ref="AR41:BF41"/>
    <mergeCell ref="BH41:BI41"/>
    <mergeCell ref="BK41:BL41"/>
    <mergeCell ref="S41:T41"/>
    <mergeCell ref="U41:V41"/>
    <mergeCell ref="W41:X41"/>
    <mergeCell ref="Y41:Z41"/>
    <mergeCell ref="AA41:AB41"/>
    <mergeCell ref="AC41:AD41"/>
    <mergeCell ref="A41:F41"/>
    <mergeCell ref="G41:H41"/>
    <mergeCell ref="I41:J41"/>
    <mergeCell ref="K41:L41"/>
    <mergeCell ref="M41:N41"/>
    <mergeCell ref="O41:P41"/>
    <mergeCell ref="Q41:R41"/>
    <mergeCell ref="AC40:AD40"/>
    <mergeCell ref="AE40:AF40"/>
    <mergeCell ref="AG40:AI40"/>
    <mergeCell ref="AO40:AQ40"/>
    <mergeCell ref="AR40:AT40"/>
    <mergeCell ref="BC40:BF40"/>
    <mergeCell ref="Q40:R40"/>
    <mergeCell ref="S40:T40"/>
    <mergeCell ref="U40:V40"/>
    <mergeCell ref="W40:X40"/>
    <mergeCell ref="Y40:Z40"/>
    <mergeCell ref="AA40:AB40"/>
    <mergeCell ref="BG39:BI39"/>
    <mergeCell ref="BK39:BL39"/>
    <mergeCell ref="BN39:BO39"/>
    <mergeCell ref="BQ39:BS39"/>
    <mergeCell ref="A40:F40"/>
    <mergeCell ref="G40:H40"/>
    <mergeCell ref="I40:J40"/>
    <mergeCell ref="K40:L40"/>
    <mergeCell ref="M40:N40"/>
    <mergeCell ref="O40:P40"/>
    <mergeCell ref="AC39:AD39"/>
    <mergeCell ref="AE39:AF39"/>
    <mergeCell ref="AG39:AI39"/>
    <mergeCell ref="AO39:AQ39"/>
    <mergeCell ref="AR39:BA39"/>
    <mergeCell ref="BC39:BF39"/>
    <mergeCell ref="Q39:R39"/>
    <mergeCell ref="S39:T39"/>
    <mergeCell ref="U39:V39"/>
    <mergeCell ref="W39:X39"/>
    <mergeCell ref="Y39:Z39"/>
    <mergeCell ref="AA39:AB39"/>
    <mergeCell ref="A39:F39"/>
    <mergeCell ref="G39:H39"/>
    <mergeCell ref="I39:J39"/>
    <mergeCell ref="K39:L39"/>
    <mergeCell ref="M39:N39"/>
    <mergeCell ref="O39:P39"/>
    <mergeCell ref="BG40:BI40"/>
    <mergeCell ref="BK40:BL40"/>
    <mergeCell ref="BN40:BO40"/>
    <mergeCell ref="BN37:BO37"/>
    <mergeCell ref="BQ37:BS37"/>
    <mergeCell ref="AN38:BI38"/>
    <mergeCell ref="BK38:BL38"/>
    <mergeCell ref="BN38:BO38"/>
    <mergeCell ref="BQ38:BS38"/>
    <mergeCell ref="AG37:AI37"/>
    <mergeCell ref="AO37:AQ37"/>
    <mergeCell ref="AR37:BA37"/>
    <mergeCell ref="BC37:BF37"/>
    <mergeCell ref="BG37:BI37"/>
    <mergeCell ref="BK37:BL37"/>
    <mergeCell ref="U37:V37"/>
    <mergeCell ref="W37:X37"/>
    <mergeCell ref="Y37:Z37"/>
    <mergeCell ref="AA37:AB37"/>
    <mergeCell ref="AC37:AD37"/>
    <mergeCell ref="AE37:AF37"/>
    <mergeCell ref="A37:F37"/>
    <mergeCell ref="G37:H37"/>
    <mergeCell ref="I37:J37"/>
    <mergeCell ref="K37:L37"/>
    <mergeCell ref="M37:N37"/>
    <mergeCell ref="O37:P37"/>
    <mergeCell ref="Q37:R37"/>
    <mergeCell ref="S37:T37"/>
    <mergeCell ref="AG36:AI36"/>
    <mergeCell ref="AO36:AQ36"/>
    <mergeCell ref="AR36:BA36"/>
    <mergeCell ref="BC36:BF36"/>
    <mergeCell ref="BG36:BI36"/>
    <mergeCell ref="BK36:BL36"/>
    <mergeCell ref="U36:V36"/>
    <mergeCell ref="W36:X36"/>
    <mergeCell ref="Y36:Z36"/>
    <mergeCell ref="AA36:AB36"/>
    <mergeCell ref="AC36:AD36"/>
    <mergeCell ref="AE36:AF36"/>
    <mergeCell ref="BN35:BO35"/>
    <mergeCell ref="BQ35:BS35"/>
    <mergeCell ref="A36:F36"/>
    <mergeCell ref="G36:H36"/>
    <mergeCell ref="I36:J36"/>
    <mergeCell ref="K36:L36"/>
    <mergeCell ref="M36:N36"/>
    <mergeCell ref="O36:P36"/>
    <mergeCell ref="Q36:R36"/>
    <mergeCell ref="S36:T36"/>
    <mergeCell ref="AG35:AI35"/>
    <mergeCell ref="AO35:AQ35"/>
    <mergeCell ref="AR35:BA35"/>
    <mergeCell ref="BC35:BF35"/>
    <mergeCell ref="BG35:BI35"/>
    <mergeCell ref="BK35:BL35"/>
    <mergeCell ref="U35:V35"/>
    <mergeCell ref="W35:X35"/>
    <mergeCell ref="Y35:Z35"/>
    <mergeCell ref="AA35:AB35"/>
    <mergeCell ref="AC35:AD35"/>
    <mergeCell ref="AE35:AF35"/>
    <mergeCell ref="BN36:BO36"/>
    <mergeCell ref="BQ36:BS36"/>
    <mergeCell ref="A35:F35"/>
    <mergeCell ref="G35:H35"/>
    <mergeCell ref="I35:J35"/>
    <mergeCell ref="K35:L35"/>
    <mergeCell ref="M35:N35"/>
    <mergeCell ref="O35:P35"/>
    <mergeCell ref="Q35:R35"/>
    <mergeCell ref="S35:T35"/>
    <mergeCell ref="A34:F34"/>
    <mergeCell ref="G34:H34"/>
    <mergeCell ref="I34:J34"/>
    <mergeCell ref="K34:L34"/>
    <mergeCell ref="M34:N34"/>
    <mergeCell ref="O34:P34"/>
    <mergeCell ref="Q34:R34"/>
    <mergeCell ref="S34:T34"/>
    <mergeCell ref="AC33:AD33"/>
    <mergeCell ref="AE33:AF33"/>
    <mergeCell ref="AG33:AI33"/>
    <mergeCell ref="AP33:BF33"/>
    <mergeCell ref="BH33:BI33"/>
    <mergeCell ref="BK33:BL33"/>
    <mergeCell ref="Q33:R33"/>
    <mergeCell ref="S33:T33"/>
    <mergeCell ref="U33:V33"/>
    <mergeCell ref="W33:X33"/>
    <mergeCell ref="Y33:Z33"/>
    <mergeCell ref="AA33:AB33"/>
    <mergeCell ref="A33:F33"/>
    <mergeCell ref="G33:H33"/>
    <mergeCell ref="I33:J33"/>
    <mergeCell ref="K33:L33"/>
    <mergeCell ref="M33:N33"/>
    <mergeCell ref="O33:P33"/>
    <mergeCell ref="BN32:BO32"/>
    <mergeCell ref="BQ32:BS32"/>
    <mergeCell ref="U32:V32"/>
    <mergeCell ref="W32:X32"/>
    <mergeCell ref="Y32:Z32"/>
    <mergeCell ref="AA32:AB32"/>
    <mergeCell ref="AC32:AD32"/>
    <mergeCell ref="AE32:AF32"/>
    <mergeCell ref="AG34:AI34"/>
    <mergeCell ref="AP34:AV34"/>
    <mergeCell ref="AX34:BC34"/>
    <mergeCell ref="BD34:BF34"/>
    <mergeCell ref="BH34:BI34"/>
    <mergeCell ref="BK34:BL34"/>
    <mergeCell ref="U34:V34"/>
    <mergeCell ref="W34:X34"/>
    <mergeCell ref="Y34:Z34"/>
    <mergeCell ref="AA34:AB34"/>
    <mergeCell ref="AC34:AD34"/>
    <mergeCell ref="AE34:AF34"/>
    <mergeCell ref="BN33:BO33"/>
    <mergeCell ref="BQ33:BS33"/>
    <mergeCell ref="BN34:BO34"/>
    <mergeCell ref="BQ34:BS34"/>
    <mergeCell ref="BN31:BO31"/>
    <mergeCell ref="BQ31:BS31"/>
    <mergeCell ref="A32:F32"/>
    <mergeCell ref="G32:H32"/>
    <mergeCell ref="I32:J32"/>
    <mergeCell ref="K32:L32"/>
    <mergeCell ref="M32:N32"/>
    <mergeCell ref="O32:P32"/>
    <mergeCell ref="Q32:R32"/>
    <mergeCell ref="S32:T32"/>
    <mergeCell ref="AC31:AD31"/>
    <mergeCell ref="AE31:AF31"/>
    <mergeCell ref="AG31:AI31"/>
    <mergeCell ref="AP31:BF31"/>
    <mergeCell ref="BH31:BI31"/>
    <mergeCell ref="BK31:BL31"/>
    <mergeCell ref="Q31:R31"/>
    <mergeCell ref="S31:T31"/>
    <mergeCell ref="U31:V31"/>
    <mergeCell ref="W31:X31"/>
    <mergeCell ref="Y31:Z31"/>
    <mergeCell ref="AA31:AB31"/>
    <mergeCell ref="A31:F31"/>
    <mergeCell ref="G31:H31"/>
    <mergeCell ref="I31:J31"/>
    <mergeCell ref="K31:L31"/>
    <mergeCell ref="M31:N31"/>
    <mergeCell ref="O31:P31"/>
    <mergeCell ref="AG32:AI32"/>
    <mergeCell ref="AP32:BF32"/>
    <mergeCell ref="BH32:BI32"/>
    <mergeCell ref="BK32:BL32"/>
    <mergeCell ref="AG30:AI30"/>
    <mergeCell ref="AP30:BF30"/>
    <mergeCell ref="BH30:BI30"/>
    <mergeCell ref="BK30:BL30"/>
    <mergeCell ref="BN30:BO30"/>
    <mergeCell ref="BQ30:BS30"/>
    <mergeCell ref="U30:V30"/>
    <mergeCell ref="W30:X30"/>
    <mergeCell ref="Y30:Z30"/>
    <mergeCell ref="AA30:AB30"/>
    <mergeCell ref="AC30:AD30"/>
    <mergeCell ref="AE30:AF30"/>
    <mergeCell ref="BN29:BO29"/>
    <mergeCell ref="BQ29:BS29"/>
    <mergeCell ref="A30:F30"/>
    <mergeCell ref="G30:H30"/>
    <mergeCell ref="I30:J30"/>
    <mergeCell ref="K30:L30"/>
    <mergeCell ref="M30:N30"/>
    <mergeCell ref="O30:P30"/>
    <mergeCell ref="Q30:R30"/>
    <mergeCell ref="S30:T30"/>
    <mergeCell ref="AC29:AD29"/>
    <mergeCell ref="AE29:AF29"/>
    <mergeCell ref="AG29:AI29"/>
    <mergeCell ref="AP29:BF29"/>
    <mergeCell ref="BH29:BI29"/>
    <mergeCell ref="BK29:BL29"/>
    <mergeCell ref="Q29:R29"/>
    <mergeCell ref="S29:T29"/>
    <mergeCell ref="U29:V29"/>
    <mergeCell ref="W29:X29"/>
    <mergeCell ref="Y29:Z29"/>
    <mergeCell ref="AA29:AB29"/>
    <mergeCell ref="AO28:BI28"/>
    <mergeCell ref="BK28:BL28"/>
    <mergeCell ref="BN28:BO28"/>
    <mergeCell ref="BQ28:BS28"/>
    <mergeCell ref="D29:F29"/>
    <mergeCell ref="G29:H29"/>
    <mergeCell ref="I29:J29"/>
    <mergeCell ref="K29:L29"/>
    <mergeCell ref="M29:N29"/>
    <mergeCell ref="O29:P29"/>
    <mergeCell ref="W28:X28"/>
    <mergeCell ref="Y28:Z28"/>
    <mergeCell ref="AA28:AB28"/>
    <mergeCell ref="AC28:AD28"/>
    <mergeCell ref="AE28:AF28"/>
    <mergeCell ref="AG28:AI28"/>
    <mergeCell ref="BQ27:BS27"/>
    <mergeCell ref="D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7:X27"/>
    <mergeCell ref="Y27:Z27"/>
    <mergeCell ref="AA27:AB27"/>
    <mergeCell ref="AC27:AD27"/>
    <mergeCell ref="AE27:AF27"/>
    <mergeCell ref="AG27:AI27"/>
    <mergeCell ref="BQ26:BS26"/>
    <mergeCell ref="D27:F27"/>
    <mergeCell ref="G27:H27"/>
    <mergeCell ref="I27:J27"/>
    <mergeCell ref="K27:L27"/>
    <mergeCell ref="M27:N27"/>
    <mergeCell ref="O27:P27"/>
    <mergeCell ref="Q27:R27"/>
    <mergeCell ref="S27:T27"/>
    <mergeCell ref="U27:V27"/>
    <mergeCell ref="AC26:AD26"/>
    <mergeCell ref="AE26:AF26"/>
    <mergeCell ref="AG26:AI26"/>
    <mergeCell ref="AM26:BI26"/>
    <mergeCell ref="BJ26:BL27"/>
    <mergeCell ref="BM26:BO27"/>
    <mergeCell ref="AN27:BI27"/>
    <mergeCell ref="Q26:R26"/>
    <mergeCell ref="S26:T26"/>
    <mergeCell ref="U26:V26"/>
    <mergeCell ref="W26:X26"/>
    <mergeCell ref="Y26:Z26"/>
    <mergeCell ref="AA26:AB26"/>
    <mergeCell ref="D26:F26"/>
    <mergeCell ref="G26:H26"/>
    <mergeCell ref="I26:J26"/>
    <mergeCell ref="K26:L26"/>
    <mergeCell ref="M26:N26"/>
    <mergeCell ref="O26:P26"/>
    <mergeCell ref="AE25:AF25"/>
    <mergeCell ref="AG25:AI25"/>
    <mergeCell ref="AM25:BI25"/>
    <mergeCell ref="BK25:BL25"/>
    <mergeCell ref="BN25:BO25"/>
    <mergeCell ref="BQ25:BS25"/>
    <mergeCell ref="S25:T25"/>
    <mergeCell ref="U25:V25"/>
    <mergeCell ref="W25:X25"/>
    <mergeCell ref="Y25:Z25"/>
    <mergeCell ref="AA25:AB25"/>
    <mergeCell ref="AC25:AD25"/>
    <mergeCell ref="AO24:BF24"/>
    <mergeCell ref="BH24:BI24"/>
    <mergeCell ref="BQ24:BS24"/>
    <mergeCell ref="D25:F25"/>
    <mergeCell ref="G25:H25"/>
    <mergeCell ref="I25:J25"/>
    <mergeCell ref="K25:L25"/>
    <mergeCell ref="M25:N25"/>
    <mergeCell ref="O25:P25"/>
    <mergeCell ref="Q25:R25"/>
    <mergeCell ref="W24:X24"/>
    <mergeCell ref="Y24:Z24"/>
    <mergeCell ref="AA24:AB24"/>
    <mergeCell ref="AC24:AD24"/>
    <mergeCell ref="AE24:AF24"/>
    <mergeCell ref="AG24:AI24"/>
    <mergeCell ref="BQ23:BS23"/>
    <mergeCell ref="D24:F24"/>
    <mergeCell ref="G24:H24"/>
    <mergeCell ref="I24:J24"/>
    <mergeCell ref="K24:L24"/>
    <mergeCell ref="M24:N24"/>
    <mergeCell ref="O24:P24"/>
    <mergeCell ref="Q24:R24"/>
    <mergeCell ref="S24:T24"/>
    <mergeCell ref="U24:V24"/>
    <mergeCell ref="AA23:AB23"/>
    <mergeCell ref="AC23:AD23"/>
    <mergeCell ref="AE23:AF23"/>
    <mergeCell ref="AG23:AI23"/>
    <mergeCell ref="AO23:BF23"/>
    <mergeCell ref="BH23:BI23"/>
    <mergeCell ref="O23:P23"/>
    <mergeCell ref="Q23:R23"/>
    <mergeCell ref="S23:T23"/>
    <mergeCell ref="U23:V23"/>
    <mergeCell ref="W23:X23"/>
    <mergeCell ref="Y23:Z23"/>
    <mergeCell ref="AM22:BI22"/>
    <mergeCell ref="BK22:BL22"/>
    <mergeCell ref="BN22:BO22"/>
    <mergeCell ref="BQ22:BS22"/>
    <mergeCell ref="A23:C29"/>
    <mergeCell ref="D23:F23"/>
    <mergeCell ref="G23:H23"/>
    <mergeCell ref="I23:J23"/>
    <mergeCell ref="K23:L23"/>
    <mergeCell ref="M23:N23"/>
    <mergeCell ref="W22:X22"/>
    <mergeCell ref="Y22:Z22"/>
    <mergeCell ref="AA22:AB22"/>
    <mergeCell ref="AC22:AD22"/>
    <mergeCell ref="AE22:AF22"/>
    <mergeCell ref="AG22:AI22"/>
    <mergeCell ref="BQ21:BS21"/>
    <mergeCell ref="A22:F22"/>
    <mergeCell ref="G22:H22"/>
    <mergeCell ref="I22:J22"/>
    <mergeCell ref="K22:L22"/>
    <mergeCell ref="M22:N22"/>
    <mergeCell ref="O22:P22"/>
    <mergeCell ref="Q22:R22"/>
    <mergeCell ref="S22:T22"/>
    <mergeCell ref="U22:V22"/>
    <mergeCell ref="AC21:AD21"/>
    <mergeCell ref="AE21:AF21"/>
    <mergeCell ref="AG21:AI21"/>
    <mergeCell ref="AM21:BI21"/>
    <mergeCell ref="BK21:BL21"/>
    <mergeCell ref="BN21:BO21"/>
    <mergeCell ref="BQ19:BS19"/>
    <mergeCell ref="Q21:R21"/>
    <mergeCell ref="S21:T21"/>
    <mergeCell ref="U21:V21"/>
    <mergeCell ref="W21:X21"/>
    <mergeCell ref="Y21:Z21"/>
    <mergeCell ref="AA21:AB21"/>
    <mergeCell ref="AM20:BI20"/>
    <mergeCell ref="BK20:BL20"/>
    <mergeCell ref="BN20:BO20"/>
    <mergeCell ref="BQ20:BS20"/>
    <mergeCell ref="A21:F21"/>
    <mergeCell ref="G21:H21"/>
    <mergeCell ref="I21:J21"/>
    <mergeCell ref="K21:L21"/>
    <mergeCell ref="M21:N21"/>
    <mergeCell ref="O21:P21"/>
    <mergeCell ref="W20:X20"/>
    <mergeCell ref="Y20:Z20"/>
    <mergeCell ref="AA20:AB20"/>
    <mergeCell ref="AC20:AD20"/>
    <mergeCell ref="AE20:AF20"/>
    <mergeCell ref="AG20:AI20"/>
    <mergeCell ref="A20:F20"/>
    <mergeCell ref="G20:H20"/>
    <mergeCell ref="I20:J20"/>
    <mergeCell ref="K20:L20"/>
    <mergeCell ref="M20:N20"/>
    <mergeCell ref="O20:P20"/>
    <mergeCell ref="Q20:R20"/>
    <mergeCell ref="S20:T20"/>
    <mergeCell ref="U20:V20"/>
    <mergeCell ref="G19:H19"/>
    <mergeCell ref="I19:J19"/>
    <mergeCell ref="K19:L19"/>
    <mergeCell ref="M19:N19"/>
    <mergeCell ref="O19:P19"/>
    <mergeCell ref="Q19:R19"/>
    <mergeCell ref="AA18:AB18"/>
    <mergeCell ref="AC18:AD18"/>
    <mergeCell ref="AE18:AF18"/>
    <mergeCell ref="AG18:AI18"/>
    <mergeCell ref="AN18:BF18"/>
    <mergeCell ref="BH18:BI18"/>
    <mergeCell ref="O18:P18"/>
    <mergeCell ref="Q18:R18"/>
    <mergeCell ref="S18:T18"/>
    <mergeCell ref="U18:V18"/>
    <mergeCell ref="W18:X18"/>
    <mergeCell ref="Y18:Z18"/>
    <mergeCell ref="BN17:BO17"/>
    <mergeCell ref="BQ17:BS17"/>
    <mergeCell ref="A18:F18"/>
    <mergeCell ref="G18:H18"/>
    <mergeCell ref="I18:J18"/>
    <mergeCell ref="K18:L18"/>
    <mergeCell ref="M18:N18"/>
    <mergeCell ref="U17:V17"/>
    <mergeCell ref="W17:X17"/>
    <mergeCell ref="Y17:Z17"/>
    <mergeCell ref="AA17:AB17"/>
    <mergeCell ref="AC17:AD17"/>
    <mergeCell ref="AE17:AF17"/>
    <mergeCell ref="AE19:AF19"/>
    <mergeCell ref="AG19:AI19"/>
    <mergeCell ref="AN19:BF19"/>
    <mergeCell ref="BH19:BI19"/>
    <mergeCell ref="BK19:BL19"/>
    <mergeCell ref="BN19:BO19"/>
    <mergeCell ref="S19:T19"/>
    <mergeCell ref="U19:V19"/>
    <mergeCell ref="W19:X19"/>
    <mergeCell ref="Y19:Z19"/>
    <mergeCell ref="AA19:AB19"/>
    <mergeCell ref="AC19:AD19"/>
    <mergeCell ref="BK18:BL18"/>
    <mergeCell ref="A17:F17"/>
    <mergeCell ref="G17:H17"/>
    <mergeCell ref="I17:J17"/>
    <mergeCell ref="BN18:BO18"/>
    <mergeCell ref="BQ18:BS18"/>
    <mergeCell ref="A19:F19"/>
    <mergeCell ref="K17:L17"/>
    <mergeCell ref="M17:N17"/>
    <mergeCell ref="O17:P17"/>
    <mergeCell ref="Q17:R17"/>
    <mergeCell ref="S17:T17"/>
    <mergeCell ref="AA16:AB16"/>
    <mergeCell ref="AC16:AD16"/>
    <mergeCell ref="AE16:AF16"/>
    <mergeCell ref="AG16:AI16"/>
    <mergeCell ref="AM16:BI16"/>
    <mergeCell ref="BK16:BL16"/>
    <mergeCell ref="O16:P16"/>
    <mergeCell ref="Q16:R16"/>
    <mergeCell ref="S16:T16"/>
    <mergeCell ref="U16:V16"/>
    <mergeCell ref="W16:X16"/>
    <mergeCell ref="Y16:Z16"/>
    <mergeCell ref="AG17:AI17"/>
    <mergeCell ref="AM17:BI17"/>
    <mergeCell ref="BK17:BL17"/>
    <mergeCell ref="AC15:AD15"/>
    <mergeCell ref="AE15:AF15"/>
    <mergeCell ref="AG15:AI15"/>
    <mergeCell ref="AM15:BI15"/>
    <mergeCell ref="BQ15:BS15"/>
    <mergeCell ref="A16:F16"/>
    <mergeCell ref="G16:H16"/>
    <mergeCell ref="I16:J16"/>
    <mergeCell ref="K16:L16"/>
    <mergeCell ref="M16:N16"/>
    <mergeCell ref="Q15:R15"/>
    <mergeCell ref="S15:T15"/>
    <mergeCell ref="U15:V15"/>
    <mergeCell ref="W15:X15"/>
    <mergeCell ref="Y15:Z15"/>
    <mergeCell ref="AA15:AB15"/>
    <mergeCell ref="A15:F15"/>
    <mergeCell ref="G15:H15"/>
    <mergeCell ref="I15:J15"/>
    <mergeCell ref="K15:L15"/>
    <mergeCell ref="M15:N15"/>
    <mergeCell ref="O15:P15"/>
    <mergeCell ref="BN16:BO16"/>
    <mergeCell ref="BQ16:BS16"/>
    <mergeCell ref="AA14:AB14"/>
    <mergeCell ref="AC14:AD14"/>
    <mergeCell ref="AE14:AF14"/>
    <mergeCell ref="AG14:AI14"/>
    <mergeCell ref="AM14:BI14"/>
    <mergeCell ref="BQ14:BS14"/>
    <mergeCell ref="O14:P14"/>
    <mergeCell ref="Q14:R14"/>
    <mergeCell ref="S14:T14"/>
    <mergeCell ref="U14:V14"/>
    <mergeCell ref="W14:X14"/>
    <mergeCell ref="Y14:Z14"/>
    <mergeCell ref="AC13:AD13"/>
    <mergeCell ref="AE13:AF13"/>
    <mergeCell ref="AG13:AI13"/>
    <mergeCell ref="AM13:BI13"/>
    <mergeCell ref="BQ13:BS13"/>
    <mergeCell ref="E14:F14"/>
    <mergeCell ref="G14:H14"/>
    <mergeCell ref="I14:J14"/>
    <mergeCell ref="K14:L14"/>
    <mergeCell ref="M14:N14"/>
    <mergeCell ref="Q13:R13"/>
    <mergeCell ref="S13:T13"/>
    <mergeCell ref="U13:V13"/>
    <mergeCell ref="W13:X13"/>
    <mergeCell ref="Y13:Z13"/>
    <mergeCell ref="AA13:AB13"/>
    <mergeCell ref="BK12:BL12"/>
    <mergeCell ref="BN12:BO12"/>
    <mergeCell ref="BQ12:BS12"/>
    <mergeCell ref="C13:D14"/>
    <mergeCell ref="E13:F13"/>
    <mergeCell ref="G13:H13"/>
    <mergeCell ref="I13:J13"/>
    <mergeCell ref="K13:L13"/>
    <mergeCell ref="M13:N13"/>
    <mergeCell ref="O13:P13"/>
    <mergeCell ref="AE12:AF12"/>
    <mergeCell ref="AG12:AI12"/>
    <mergeCell ref="AN12:AV12"/>
    <mergeCell ref="AW12:AY12"/>
    <mergeCell ref="AZ12:BC12"/>
    <mergeCell ref="BH12:BI12"/>
    <mergeCell ref="S12:T12"/>
    <mergeCell ref="U12:V12"/>
    <mergeCell ref="W12:X12"/>
    <mergeCell ref="Y12:Z12"/>
    <mergeCell ref="AA12:AB12"/>
    <mergeCell ref="AC12:AD12"/>
    <mergeCell ref="BK11:BL11"/>
    <mergeCell ref="BN11:BO11"/>
    <mergeCell ref="BQ11:BS11"/>
    <mergeCell ref="C12:F12"/>
    <mergeCell ref="G12:H12"/>
    <mergeCell ref="I12:J12"/>
    <mergeCell ref="K12:L12"/>
    <mergeCell ref="M12:N12"/>
    <mergeCell ref="O12:P12"/>
    <mergeCell ref="Q12:R12"/>
    <mergeCell ref="AE11:AF11"/>
    <mergeCell ref="AG11:AI11"/>
    <mergeCell ref="AN11:AV11"/>
    <mergeCell ref="AX11:AY11"/>
    <mergeCell ref="BB11:BC11"/>
    <mergeCell ref="BH11:BI11"/>
    <mergeCell ref="S11:T11"/>
    <mergeCell ref="U11:V11"/>
    <mergeCell ref="W11:X11"/>
    <mergeCell ref="Y11:Z11"/>
    <mergeCell ref="AA11:AB11"/>
    <mergeCell ref="AC11:AD11"/>
    <mergeCell ref="BK10:BL10"/>
    <mergeCell ref="BN10:BO10"/>
    <mergeCell ref="BQ10:BS10"/>
    <mergeCell ref="A11:F11"/>
    <mergeCell ref="G11:H11"/>
    <mergeCell ref="I11:J11"/>
    <mergeCell ref="K11:L11"/>
    <mergeCell ref="M11:N11"/>
    <mergeCell ref="O11:P11"/>
    <mergeCell ref="Q11:R11"/>
    <mergeCell ref="AA10:AB10"/>
    <mergeCell ref="AC10:AD10"/>
    <mergeCell ref="AE10:AF10"/>
    <mergeCell ref="AG10:AI10"/>
    <mergeCell ref="AN10:BF10"/>
    <mergeCell ref="BH10:BI10"/>
    <mergeCell ref="O10:P10"/>
    <mergeCell ref="Q10:R10"/>
    <mergeCell ref="S10:T10"/>
    <mergeCell ref="U10:V10"/>
    <mergeCell ref="W10:X10"/>
    <mergeCell ref="Y10:Z10"/>
    <mergeCell ref="AG9:AI9"/>
    <mergeCell ref="AM9:BI9"/>
    <mergeCell ref="BK9:BL9"/>
    <mergeCell ref="BN9:BO9"/>
    <mergeCell ref="BQ9:BS9"/>
    <mergeCell ref="A10:F10"/>
    <mergeCell ref="G10:H10"/>
    <mergeCell ref="I10:J10"/>
    <mergeCell ref="K10:L10"/>
    <mergeCell ref="M10:N10"/>
    <mergeCell ref="U9:V9"/>
    <mergeCell ref="W9:X9"/>
    <mergeCell ref="Y9:Z9"/>
    <mergeCell ref="AA9:AB9"/>
    <mergeCell ref="AC9:AD9"/>
    <mergeCell ref="AE9:AF9"/>
    <mergeCell ref="BN8:BO8"/>
    <mergeCell ref="BQ8:BS8"/>
    <mergeCell ref="A9:F9"/>
    <mergeCell ref="G9:H9"/>
    <mergeCell ref="I9:J9"/>
    <mergeCell ref="K9:L9"/>
    <mergeCell ref="M9:N9"/>
    <mergeCell ref="O9:P9"/>
    <mergeCell ref="Q9:R9"/>
    <mergeCell ref="S9:T9"/>
    <mergeCell ref="AA8:AB8"/>
    <mergeCell ref="AC8:AD8"/>
    <mergeCell ref="AE8:AF8"/>
    <mergeCell ref="AG8:AI8"/>
    <mergeCell ref="AM8:BI8"/>
    <mergeCell ref="BK8:BL8"/>
    <mergeCell ref="O8:P8"/>
    <mergeCell ref="Q8:R8"/>
    <mergeCell ref="S8:T8"/>
    <mergeCell ref="U8:V8"/>
    <mergeCell ref="W8:X8"/>
    <mergeCell ref="Y8:Z8"/>
    <mergeCell ref="AM7:BI7"/>
    <mergeCell ref="BK7:BL7"/>
    <mergeCell ref="BN7:BO7"/>
    <mergeCell ref="BQ7:BS7"/>
    <mergeCell ref="A8:C8"/>
    <mergeCell ref="D8:F8"/>
    <mergeCell ref="G8:H8"/>
    <mergeCell ref="I8:J8"/>
    <mergeCell ref="K8:L8"/>
    <mergeCell ref="M8:N8"/>
    <mergeCell ref="W7:X7"/>
    <mergeCell ref="Y7:Z7"/>
    <mergeCell ref="AA7:AB7"/>
    <mergeCell ref="AC7:AD7"/>
    <mergeCell ref="AE7:AF7"/>
    <mergeCell ref="AG7:AI7"/>
    <mergeCell ref="AF6:AI6"/>
    <mergeCell ref="A7:C7"/>
    <mergeCell ref="D7:F7"/>
    <mergeCell ref="G7:J7"/>
    <mergeCell ref="K7:L7"/>
    <mergeCell ref="M7:N7"/>
    <mergeCell ref="O7:P7"/>
    <mergeCell ref="Q7:R7"/>
    <mergeCell ref="S7:T7"/>
    <mergeCell ref="U7:V7"/>
    <mergeCell ref="AB5:AE5"/>
    <mergeCell ref="AF5:AI5"/>
    <mergeCell ref="AK5:AM5"/>
    <mergeCell ref="AN5:AY5"/>
    <mergeCell ref="A6:C6"/>
    <mergeCell ref="D6:O6"/>
    <mergeCell ref="Q6:R6"/>
    <mergeCell ref="T6:X6"/>
    <mergeCell ref="Y6:Z6"/>
    <mergeCell ref="AB6:AE6"/>
    <mergeCell ref="AB4:AI4"/>
    <mergeCell ref="AK4:AM4"/>
    <mergeCell ref="AN4:AY4"/>
    <mergeCell ref="BA4:BB4"/>
    <mergeCell ref="BC4:BE4"/>
    <mergeCell ref="A5:C5"/>
    <mergeCell ref="D5:O5"/>
    <mergeCell ref="Q5:R5"/>
    <mergeCell ref="T5:X5"/>
    <mergeCell ref="Y5:Z5"/>
    <mergeCell ref="BL3:BM3"/>
    <mergeCell ref="BN3:BO3"/>
    <mergeCell ref="BP3:BQ3"/>
    <mergeCell ref="BR3:BS3"/>
    <mergeCell ref="A4:C4"/>
    <mergeCell ref="D4:O4"/>
    <mergeCell ref="Q4:R4"/>
    <mergeCell ref="S4:U4"/>
    <mergeCell ref="V4:X4"/>
    <mergeCell ref="Y4:Z4"/>
    <mergeCell ref="AD3:AE3"/>
    <mergeCell ref="AF3:AG3"/>
    <mergeCell ref="AH3:AI3"/>
    <mergeCell ref="AK3:AM3"/>
    <mergeCell ref="AN3:AS3"/>
    <mergeCell ref="BA3:BB3"/>
    <mergeCell ref="BL2:BM2"/>
    <mergeCell ref="BN2:BO2"/>
    <mergeCell ref="BP2:BQ2"/>
    <mergeCell ref="BR2:BS2"/>
    <mergeCell ref="A3:C3"/>
    <mergeCell ref="D3:I3"/>
    <mergeCell ref="Q3:R3"/>
    <mergeCell ref="V3:X3"/>
    <mergeCell ref="Y3:Z3"/>
    <mergeCell ref="AB3:AC3"/>
    <mergeCell ref="AD2:AE2"/>
    <mergeCell ref="AF2:AG2"/>
    <mergeCell ref="AH2:AI2"/>
    <mergeCell ref="AK2:AM2"/>
    <mergeCell ref="AN2:AY2"/>
    <mergeCell ref="BA2:BB2"/>
    <mergeCell ref="A2:C2"/>
    <mergeCell ref="D2:O2"/>
    <mergeCell ref="Q2:R2"/>
    <mergeCell ref="V2:X2"/>
    <mergeCell ref="Y2:Z2"/>
    <mergeCell ref="AB2:AC2"/>
  </mergeCells>
  <conditionalFormatting sqref="AA9">
    <cfRule type="expression" dxfId="0" priority="1">
      <formula>$Y$91="Jan"</formula>
    </cfRule>
  </conditionalFormatting>
  <dataValidations count="28">
    <dataValidation allowBlank="1" showInputMessage="1" showErrorMessage="1" promptTitle="Income from House Property" prompt="1.Annual Value                      -A_x000a_2.(-) Municipal Taxes             -B_x000a_3.Net Ann. Value (A-B)          -C_x000a_4.Ded: 30% of C+_x000a_       Int on Borrwd Captl        -D_x000a_5.Net chargble income (C-D) -E" sqref="B43:F46" xr:uid="{00000000-0002-0000-0000-000000000000}"/>
    <dataValidation allowBlank="1" showInputMessage="1" showErrorMessage="1" promptTitle="Sec 80-G Donations" prompt="Any donation for charitable purposes." sqref="A68:F69" xr:uid="{00000000-0002-0000-0000-000001000000}"/>
    <dataValidation allowBlank="1" showInputMessage="1" showErrorMessage="1" promptTitle="Sec 80 CCD(1b) Addl NPS Contr." prompt="Additional Amount of Deduction under NPS Contribution upto Rs.50,000/-." sqref="A60:F61" xr:uid="{00000000-0002-0000-0000-000002000000}"/>
    <dataValidation type="list" allowBlank="1" showInputMessage="1" showErrorMessage="1" promptTitle="Payment made in ?" prompt=" Please select_x000a__x000a_&quot;This Off&quot; for Payment made in this office_x000a_                       or_x000a_&quot;Other Off&quot; for Payment made  in other office." sqref="G74:AF74" xr:uid="{00000000-0002-0000-0000-000003000000}">
      <formula1>"This Off,Other Off"</formula1>
    </dataValidation>
    <dataValidation allowBlank="1" showInputMessage="1" showErrorMessage="1" promptTitle="Payment made in ?" prompt="  Please select_x000a__x000a_&quot;This Off&quot; for Payment made in this office_x000a_                       or_x000a_&quot;Other Off&quot; for Payment made in other office_x000a__x000a_in the next columns." sqref="A74:F74" xr:uid="{00000000-0002-0000-0000-000004000000}"/>
    <dataValidation type="list" allowBlank="1" showInputMessage="1" showErrorMessage="1" errorTitle="Sec 80-U Handicapped Assessee" error="Please select from the drop down list.  Please try again." promptTitle="Sec 80-U Handicapped Assessee" prompt="Select from the drop down menu." sqref="AE70:AF70" xr:uid="{00000000-0002-0000-0000-000005000000}">
      <formula1>"0,75000,125000"</formula1>
    </dataValidation>
    <dataValidation allowBlank="1" showInputMessage="1" showErrorMessage="1" promptTitle="Sec 80-U Handicapped Assessee" prompt="Rs.50,000 in the case of assessee who is a person with disability and Rs.1,00,000 if he is a person with severe disability._x000a__x000a_Sec 80-U" sqref="A70:F70" xr:uid="{00000000-0002-0000-0000-000006000000}"/>
    <dataValidation allowBlank="1" showInputMessage="1" showErrorMessage="1" promptTitle="Int. on Education Loan" prompt="The intrst paid during the yr, for the loan taken frm any financial or charitable institution for highr eductn for himself/spouse/children/student to whom legal guardian, can be deducted till the loan including int. is cleared or 8 yrs whichever earlier." sqref="A67:F67" xr:uid="{00000000-0002-0000-0000-000007000000}"/>
    <dataValidation type="list" allowBlank="1" showInputMessage="1" showErrorMessage="1" promptTitle="Sec-80DDB-Medical Treatment" prompt="Select from the drop down menu" sqref="AE66:AF66" xr:uid="{00000000-0002-0000-0000-000008000000}">
      <formula1>"0,40000,60000"</formula1>
    </dataValidation>
    <dataValidation allowBlank="1" showInputMessage="1" showErrorMessage="1" promptTitle="Medical Treatment" prompt="Special deduction of actual expenditure limited to Rs.40,000to the patient or a dependant suffering from Cancer or AIDS involving considerable expenditure on treatment and Rs.60,000 if such a dependant is a senior citizen (65 Yrs or mre)." sqref="A66:F66" xr:uid="{00000000-0002-0000-0000-000009000000}"/>
    <dataValidation type="list" allowBlank="1" showInputMessage="1" showErrorMessage="1" promptTitle="Sec-80DD-Handicap Dependant" prompt="Select from the drop down menu" sqref="AE65:AF65" xr:uid="{00000000-0002-0000-0000-00000A000000}">
      <formula1>"0,75000,125000"</formula1>
    </dataValidation>
    <dataValidation allowBlank="1" showInputMessage="1" showErrorMessage="1" promptTitle="Handicapped Dependant" prompt="An amount of Rs.50,000 for assessees who incur expenditure in medical treatment (including nursing), training and rehabilitation of any dependant being a person with disability and Rs.1,00,000 in the case of severe disability._x000a__x000a_Sec 80-DD" sqref="A65:F65" xr:uid="{00000000-0002-0000-0000-00000B000000}"/>
    <dataValidation allowBlank="1" showInputMessage="1" showErrorMessage="1" promptTitle="Total of Sec 80-D" prompt="Deduction of premium amount upto Rs.15000 paid by any mode of payment other than cash for medical insurance under any scheme framed by Gen. Insur. Corp/any other insurer notified by Cent. Govt. and CGHS Contribution._x000a__x000a_Sec 80 D" sqref="A64:F64" xr:uid="{00000000-0002-0000-0000-00000C000000}"/>
    <dataValidation allowBlank="1" showInputMessage="1" showErrorMessage="1" promptTitle="Sec80D CGHS Contribution" prompt="Deduction of premium amount upto Rs.15000 paid by any mode of payment other than cash for medical insurance under any scheme framed by Gen. Insur. Corp/any other insurer notified by Cent. Govt. and CGHS Contribution._x000a__x000a_Sec 80 D" sqref="A63:F63" xr:uid="{00000000-0002-0000-0000-00000D000000}"/>
    <dataValidation allowBlank="1" showInputMessage="1" showErrorMessage="1" promptTitle="Sec80D Medical Insurance Premium" prompt="Deduction of premium amount upto Rs.15000 paid by any mode of payment other than cash for medical insurance under any scheme framed by Gen. Insur. Corp/any other insurer notified by Cent. Govt. and CGHS Contribution._x000a__x000a_Sec 80 D" sqref="A62:F62" xr:uid="{00000000-0002-0000-0000-00000E000000}"/>
    <dataValidation allowBlank="1" showInputMessage="1" showErrorMessage="1" promptTitle="Tot - 80C,80CCC and 80CCD(1)" prompt="The aggregate amount of deductions under Sec 80-C, 80-CCC and Sub-Section (1) of Sec 80-CCD should not exceed Rs.1,00,000/-._x000a__x000a_Section 80 CCE" sqref="A58:F58" xr:uid="{00000000-0002-0000-0000-00000F000000}"/>
    <dataValidation allowBlank="1" showInputMessage="1" showErrorMessage="1" promptTitle="Contr. to New Pension Scheme" prompt="Contribution to New Pension Scheme by employee, limited to 10% of salary of the employee._x000a__x000a_Sub Section (1) of Sec. 80-CCD" sqref="A57:F57 A59:F59" xr:uid="{00000000-0002-0000-0000-000010000000}"/>
    <dataValidation allowBlank="1" showInputMessage="1" showErrorMessage="1" promptTitle="Total Deductions U/S. 80-C" prompt="Aggreagate amount deductible under Section 80-C should not exceed Rs.1,00,000/-." sqref="A56" xr:uid="{00000000-0002-0000-0000-000011000000}"/>
    <dataValidation allowBlank="1" showInputMessage="1" showErrorMessage="1" promptTitle="Rent for HRA Exemption Claim" prompt="Please mention the House Rent paid during the Financial Year, for the purpose of calculating HRA Exemption" sqref="A40:F40" xr:uid="{00000000-0002-0000-0000-000012000000}"/>
    <dataValidation allowBlank="1" showInputMessage="1" showErrorMessage="1" promptTitle="Government Contribution" prompt="Please fill in Government Contribution if covered under NPS.  Otherwise leave the cells blank." sqref="A30:F30" xr:uid="{00000000-0002-0000-0000-000013000000}"/>
    <dataValidation allowBlank="1" showInputMessage="1" showErrorMessage="1" promptTitle="Govt Contribution to NPS" prompt="Please fill in Government Contribution if covered under NPS.  Otherwise leave the cells blank." sqref="A22:F22" xr:uid="{00000000-0002-0000-0000-000014000000}"/>
    <dataValidation type="list" allowBlank="1" showInputMessage="1" showErrorMessage="1" errorTitle="Classf. for House Rent Allowance" error="Please enter &quot;X&quot; or &quot;Y&quot; or &quot;Z&quot;" promptTitle="Classf. for House Rent Allowance" prompt="Please enter_x000a_&quot;X&quot; or_x000a_&quot;Y&quot;   or_x000a_&quot;Z&quot;" sqref="G14:AD14" xr:uid="{00000000-0002-0000-0000-000015000000}">
      <formula1>"X,Y,Z"</formula1>
    </dataValidation>
    <dataValidation type="list" allowBlank="1" showInputMessage="1" showErrorMessage="1" errorTitle="Classif. for Transport Allowance" error="Please enter &quot;1&quot; or &quot;2&quot;" promptTitle="Classif. for Transport Allowance" prompt="Enter_x000a_&quot;1&quot; for Hyderabad(UA), Delhi(UA), Bangalore(UA), Greater Mumbai(UA), Chennai(UA), Kolkata(UA), Ahmedabad(UA), Surat(UA), Nagpur(UA), Pune(UA), Jaipur(UA), Lucknow(UA) and Kanpur(UA),_x000a_&quot;2&quot; for other areas" sqref="G13:AD13" xr:uid="{00000000-0002-0000-0000-000016000000}">
      <formula1>"1,2"</formula1>
    </dataValidation>
    <dataValidation type="list" allowBlank="1" showInputMessage="1" showErrorMessage="1" errorTitle="Occupying Quarters (Yes / No) ?" error="Please enter &quot;Y&quot; or &quot;y&quot; or &quot;N&quot; or &quot;n&quot;." promptTitle="Occupying Qtrs (Yes / No) ?" prompt="Please enter &quot;Y&quot; or &quot;y&quot; if Quarters is occupied._x000a_Enter &quot;N&quot; or &quot;n&quot; if Quarters is not occupied." sqref="G12:AD12" xr:uid="{00000000-0002-0000-0000-000017000000}">
      <formula1>"Y,y,N,n"</formula1>
    </dataValidation>
    <dataValidation type="list" allowBlank="1" showInputMessage="1" showErrorMessage="1" sqref="D6:O6" xr:uid="{00000000-0002-0000-0000-000018000000}">
      <formula1>"Women,Senior Citizens,Super Senior Citizens,Others"</formula1>
    </dataValidation>
    <dataValidation type="list" showInputMessage="1" showErrorMessage="1" sqref="Y5:Z5" xr:uid="{00000000-0002-0000-0000-000019000000}">
      <formula1>"Jan,July"</formula1>
    </dataValidation>
    <dataValidation type="list" allowBlank="1" showInputMessage="1" showErrorMessage="1" errorTitle="New Pension Scheme (Y/N)?" error="Please enter &quot;Y&quot; or &quot;y&quot; or &quot;N&quot; or &quot;n&quot;." promptTitle="New Pension Scheme (Y/N)?" prompt="Please enter &quot;Y&quot; or &quot;y&quot; if covered under New Pension Scheme._x000a__x000a_Please enter &quot;N&quot; or &quot;n&quot; if not covered under New Pension Scheme." sqref="S5" xr:uid="{00000000-0002-0000-0000-00001A000000}">
      <formula1>"Y,y,N,n"</formula1>
    </dataValidation>
    <dataValidation type="list" allowBlank="1" showInputMessage="1" showErrorMessage="1" errorTitle="Physically Handicapped (Y/N)?" error="Please enter &quot;Y&quot; or &quot;y&quot; or &quot;N&quot; or &quot;n&quot;." promptTitle="Physically Handicapped (Y/N)?" prompt="Please enter &quot;Y&quot; or &quot;y&quot; if Physically Handicapped._x000a_Enter &quot;N&quot; or &quot;n&quot; if NOT Physically Handicapped." sqref="S2" xr:uid="{00000000-0002-0000-0000-00001B000000}">
      <formula1>"Y,y,N,n"</formula1>
    </dataValidation>
  </dataValidations>
  <pageMargins left="0.11811023622047245" right="0.11811023622047245" top="0.19685039370078741" bottom="0.15748031496062992" header="0.31496062992125984" footer="0.31496062992125984"/>
  <pageSetup paperSize="5"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2021-02-06T15:26:20Z</dcterms:modified>
</cp:coreProperties>
</file>